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lectrical\Programs\BR Projects\Y Projects\Y3 - PFG SMPro\Y3_W25_P11_V3_0\Logical\Docs\"/>
    </mc:Choice>
  </mc:AlternateContent>
  <xr:revisionPtr revIDLastSave="0" documentId="13_ncr:1_{41579E1E-C544-44E3-A996-896EAD0D3B33}" xr6:coauthVersionLast="47" xr6:coauthVersionMax="47" xr10:uidLastSave="{00000000-0000-0000-0000-000000000000}"/>
  <bookViews>
    <workbookView xWindow="28680" yWindow="-120" windowWidth="38640" windowHeight="21840" tabRatio="800" activeTab="2" xr2:uid="{00000000-000D-0000-FFFF-FFFF00000000}"/>
  </bookViews>
  <sheets>
    <sheet name="ToDo" sheetId="31" r:id="rId1"/>
    <sheet name="IO" sheetId="88" r:id="rId2"/>
    <sheet name="BRMem" sheetId="87" r:id="rId3"/>
    <sheet name="Plug" sheetId="11" r:id="rId4"/>
    <sheet name="AC" sheetId="100" r:id="rId5"/>
    <sheet name="Tracking" sheetId="101" r:id="rId6"/>
    <sheet name="X2" sheetId="78" r:id="rId7"/>
    <sheet name="Program Checklist" sheetId="82" r:id="rId8"/>
    <sheet name="Motors" sheetId="91" r:id="rId9"/>
    <sheet name="Cycle Time" sheetId="83" r:id="rId10"/>
    <sheet name="Visualisation" sheetId="90" r:id="rId11"/>
    <sheet name="Next Size" sheetId="86" r:id="rId12"/>
    <sheet name="Batch Display" sheetId="89" r:id="rId13"/>
    <sheet name="Analog" sheetId="92" r:id="rId14"/>
    <sheet name="Ashton FB" sheetId="95" r:id="rId15"/>
  </sheets>
  <definedNames>
    <definedName name="FIELD" localSheetId="4">#REF!</definedName>
    <definedName name="FIELD" localSheetId="2">#REF!</definedName>
    <definedName name="FIELD" localSheetId="1">#REF!</definedName>
    <definedName name="FIELD" localSheetId="8">#REF!</definedName>
    <definedName name="FIELD" localSheetId="5">#REF!</definedName>
    <definedName name="FIELD" localSheetId="10">#REF!</definedName>
    <definedName name="FIELD">#REF!</definedName>
    <definedName name="_xlnm.Print_Area" localSheetId="4">AC!$A$1:$L$76</definedName>
    <definedName name="_xlnm.Print_Area" localSheetId="2">BRMem!#REF!</definedName>
    <definedName name="_xlnm.Print_Area" localSheetId="1">IO!$A$1:$N$86</definedName>
    <definedName name="_xlnm.Print_Titles" localSheetId="1">IO!$1:$2</definedName>
    <definedName name="_xlnm.Print_Titles" localSheetId="3">Plug!$A:$A</definedName>
    <definedName name="Speeds" localSheetId="5">Tracking!#REF!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4" i="89" l="1"/>
  <c r="H114" i="89"/>
  <c r="D114" i="89"/>
  <c r="D99" i="89" s="1"/>
  <c r="L111" i="89"/>
  <c r="L110" i="89"/>
  <c r="L106" i="89"/>
  <c r="L105" i="89"/>
  <c r="L101" i="89"/>
  <c r="L100" i="89"/>
  <c r="H111" i="89"/>
  <c r="H110" i="89"/>
  <c r="H106" i="89"/>
  <c r="H105" i="89"/>
  <c r="H101" i="89"/>
  <c r="H100" i="89"/>
  <c r="D111" i="89"/>
  <c r="D110" i="89"/>
  <c r="D106" i="89"/>
  <c r="D105" i="89"/>
  <c r="M116" i="89"/>
  <c r="M115" i="89"/>
  <c r="I116" i="89"/>
  <c r="I115" i="89"/>
  <c r="E116" i="89"/>
  <c r="E115" i="89"/>
  <c r="L113" i="89"/>
  <c r="L98" i="89" s="1"/>
  <c r="L103" i="89" s="1"/>
  <c r="L108" i="89" s="1"/>
  <c r="D101" i="89"/>
  <c r="D100" i="89"/>
  <c r="J113" i="89"/>
  <c r="F113" i="89"/>
  <c r="H113" i="89" s="1"/>
  <c r="H98" i="89" s="1"/>
  <c r="H103" i="89" s="1"/>
  <c r="H108" i="89" s="1"/>
  <c r="B113" i="89"/>
  <c r="D113" i="89" s="1"/>
  <c r="D98" i="89" s="1"/>
  <c r="D103" i="89" s="1"/>
  <c r="D108" i="89" s="1"/>
  <c r="T99" i="89"/>
  <c r="U104" i="89" s="1"/>
  <c r="B124" i="89"/>
  <c r="H99" i="89" l="1"/>
  <c r="D104" i="89"/>
  <c r="D109" i="89" s="1"/>
  <c r="U99" i="89"/>
  <c r="T57" i="89"/>
  <c r="U57" i="89" s="1"/>
  <c r="C91" i="89"/>
  <c r="C92" i="89"/>
  <c r="F76" i="89"/>
  <c r="N76" i="89"/>
  <c r="N88" i="89"/>
  <c r="N87" i="89"/>
  <c r="N83" i="89"/>
  <c r="N82" i="89"/>
  <c r="N78" i="89"/>
  <c r="N77" i="89"/>
  <c r="J77" i="89"/>
  <c r="J76" i="89"/>
  <c r="J88" i="89"/>
  <c r="J87" i="89"/>
  <c r="J83" i="89"/>
  <c r="J82" i="89"/>
  <c r="J78" i="89"/>
  <c r="F88" i="89"/>
  <c r="F87" i="89"/>
  <c r="F83" i="89"/>
  <c r="F82" i="89"/>
  <c r="F77" i="89"/>
  <c r="F78" i="89"/>
  <c r="M62" i="89"/>
  <c r="M57" i="89" s="1"/>
  <c r="I62" i="89"/>
  <c r="I57" i="89" s="1"/>
  <c r="E62" i="89"/>
  <c r="E57" i="89" s="1"/>
  <c r="J71" i="89"/>
  <c r="F71" i="89"/>
  <c r="B71" i="89"/>
  <c r="N79" i="89" l="1"/>
  <c r="N81" i="89" s="1"/>
  <c r="N84" i="89" s="1"/>
  <c r="N86" i="89" s="1"/>
  <c r="N89" i="89" s="1"/>
  <c r="L99" i="89"/>
  <c r="L104" i="89" s="1"/>
  <c r="L109" i="89" s="1"/>
  <c r="H104" i="89"/>
  <c r="H109" i="89" s="1"/>
  <c r="U62" i="89"/>
  <c r="J79" i="89"/>
  <c r="J81" i="89" s="1"/>
  <c r="J84" i="89" s="1"/>
  <c r="J86" i="89" s="1"/>
  <c r="J89" i="89" s="1"/>
  <c r="F79" i="89"/>
  <c r="F81" i="89" s="1"/>
  <c r="F84" i="89" s="1"/>
  <c r="F86" i="89" s="1"/>
  <c r="F89" i="89" s="1"/>
  <c r="S13" i="89"/>
  <c r="T8" i="89"/>
  <c r="T9" i="89" s="1"/>
  <c r="T10" i="89" s="1"/>
  <c r="T11" i="89" s="1"/>
  <c r="T12" i="89" s="1"/>
  <c r="R4" i="89"/>
  <c r="I9" i="89"/>
  <c r="J9" i="89" s="1"/>
  <c r="N7" i="89"/>
  <c r="K7" i="89"/>
  <c r="I7" i="89"/>
  <c r="B14" i="89"/>
  <c r="A14" i="89"/>
  <c r="U11" i="89" l="1"/>
  <c r="D4" i="89"/>
  <c r="I4" i="89" s="1"/>
  <c r="E4" i="89"/>
  <c r="K4" i="89" l="1"/>
  <c r="E8" i="89"/>
  <c r="E9" i="89" s="1"/>
  <c r="G9" i="89" s="1"/>
  <c r="D7" i="89"/>
  <c r="D8" i="89"/>
  <c r="D9" i="89" s="1"/>
  <c r="D10" i="89" s="1"/>
  <c r="E7" i="89"/>
  <c r="F84" i="88"/>
  <c r="F83" i="88"/>
  <c r="F82" i="88"/>
  <c r="F81" i="88"/>
  <c r="F80" i="88"/>
  <c r="F79" i="88"/>
  <c r="F78" i="88"/>
  <c r="F77" i="88"/>
  <c r="F76" i="88"/>
  <c r="F75" i="88"/>
  <c r="F74" i="88"/>
  <c r="F73" i="88"/>
  <c r="F72" i="88"/>
  <c r="F71" i="88"/>
  <c r="F70" i="88"/>
  <c r="F69" i="88"/>
  <c r="D84" i="88"/>
  <c r="D83" i="88"/>
  <c r="D82" i="88"/>
  <c r="D81" i="88"/>
  <c r="D80" i="88"/>
  <c r="D79" i="88"/>
  <c r="D78" i="88"/>
  <c r="D77" i="88"/>
  <c r="D76" i="88"/>
  <c r="D75" i="88"/>
  <c r="D74" i="88"/>
  <c r="D73" i="88"/>
  <c r="D72" i="88"/>
  <c r="D71" i="88"/>
  <c r="D70" i="88"/>
  <c r="D69" i="88"/>
  <c r="F68" i="88"/>
  <c r="D68" i="88"/>
  <c r="B85" i="88"/>
  <c r="L64" i="88"/>
  <c r="B84" i="88"/>
  <c r="B83" i="88"/>
  <c r="B82" i="88"/>
  <c r="B81" i="88"/>
  <c r="B80" i="88"/>
  <c r="B79" i="88"/>
  <c r="B78" i="88"/>
  <c r="B77" i="88"/>
  <c r="B76" i="88"/>
  <c r="B75" i="88"/>
  <c r="B74" i="88"/>
  <c r="B73" i="88"/>
  <c r="B72" i="88"/>
  <c r="B71" i="88"/>
  <c r="B70" i="88"/>
  <c r="B69" i="88"/>
  <c r="B68" i="88"/>
  <c r="L63" i="88"/>
  <c r="L62" i="88"/>
  <c r="L61" i="88"/>
  <c r="L60" i="88"/>
  <c r="L59" i="88"/>
  <c r="L58" i="88"/>
  <c r="L57" i="88"/>
  <c r="L56" i="88"/>
  <c r="L55" i="88"/>
  <c r="L54" i="88"/>
  <c r="L53" i="88"/>
  <c r="L52" i="88"/>
  <c r="L51" i="88"/>
  <c r="L50" i="88"/>
  <c r="L49" i="88"/>
  <c r="L48" i="88"/>
  <c r="L47" i="88"/>
  <c r="J47" i="88"/>
  <c r="J64" i="88" s="1"/>
  <c r="J63" i="88"/>
  <c r="J62" i="88"/>
  <c r="J61" i="88"/>
  <c r="J60" i="88"/>
  <c r="J59" i="88"/>
  <c r="J58" i="88"/>
  <c r="J57" i="88"/>
  <c r="J56" i="88"/>
  <c r="J55" i="88"/>
  <c r="J54" i="88"/>
  <c r="J53" i="88"/>
  <c r="J52" i="88"/>
  <c r="J51" i="88"/>
  <c r="J50" i="88"/>
  <c r="J49" i="88"/>
  <c r="J48" i="88"/>
  <c r="H63" i="88"/>
  <c r="T61" i="100" l="1"/>
  <c r="T59" i="100"/>
  <c r="V51" i="100"/>
  <c r="U51" i="100"/>
  <c r="V49" i="100"/>
  <c r="U49" i="100"/>
  <c r="V47" i="100"/>
  <c r="U47" i="100"/>
  <c r="V45" i="100"/>
  <c r="U45" i="100"/>
  <c r="V43" i="100"/>
  <c r="U43" i="100"/>
  <c r="H40" i="100"/>
  <c r="L37" i="100"/>
  <c r="W35" i="100"/>
  <c r="V35" i="100"/>
  <c r="U35" i="100"/>
  <c r="V33" i="100"/>
  <c r="U33" i="100"/>
  <c r="I32" i="100"/>
  <c r="H32" i="100"/>
  <c r="G32" i="100"/>
  <c r="V31" i="100"/>
  <c r="U31" i="100"/>
  <c r="T31" i="100" s="1"/>
  <c r="I31" i="100"/>
  <c r="H31" i="100"/>
  <c r="G31" i="100"/>
  <c r="I30" i="100"/>
  <c r="H30" i="100"/>
  <c r="G30" i="100"/>
  <c r="W29" i="100"/>
  <c r="V29" i="100"/>
  <c r="U29" i="100"/>
  <c r="L29" i="100"/>
  <c r="I29" i="100"/>
  <c r="H29" i="100"/>
  <c r="G29" i="100"/>
  <c r="L28" i="100"/>
  <c r="I28" i="100"/>
  <c r="H28" i="100"/>
  <c r="G28" i="100"/>
  <c r="V27" i="100"/>
  <c r="U27" i="100"/>
  <c r="L27" i="100"/>
  <c r="I27" i="100"/>
  <c r="H27" i="100"/>
  <c r="G27" i="100"/>
  <c r="L26" i="100"/>
  <c r="I26" i="100"/>
  <c r="H26" i="100"/>
  <c r="G26" i="100"/>
  <c r="I25" i="100"/>
  <c r="H25" i="100"/>
  <c r="G25" i="100"/>
  <c r="L24" i="100"/>
  <c r="I24" i="100"/>
  <c r="H24" i="100"/>
  <c r="G24" i="100"/>
  <c r="L23" i="100"/>
  <c r="I23" i="100"/>
  <c r="H23" i="100"/>
  <c r="G23" i="100"/>
  <c r="I22" i="100"/>
  <c r="H22" i="100"/>
  <c r="G22" i="100"/>
  <c r="L21" i="100"/>
  <c r="I21" i="100"/>
  <c r="H21" i="100"/>
  <c r="G21" i="100"/>
  <c r="L20" i="100"/>
  <c r="I20" i="100"/>
  <c r="H20" i="100"/>
  <c r="G20" i="100"/>
  <c r="T19" i="100"/>
  <c r="T17" i="100"/>
  <c r="T15" i="100"/>
  <c r="O14" i="100"/>
  <c r="N14" i="100"/>
  <c r="L14" i="100"/>
  <c r="D14" i="100"/>
  <c r="O13" i="100"/>
  <c r="N13" i="100"/>
  <c r="L13" i="100"/>
  <c r="D13" i="100"/>
  <c r="O12" i="100"/>
  <c r="N12" i="100"/>
  <c r="L12" i="100"/>
  <c r="D12" i="100"/>
  <c r="O11" i="100"/>
  <c r="N11" i="100"/>
  <c r="L11" i="100"/>
  <c r="D11" i="100"/>
  <c r="O10" i="100"/>
  <c r="N10" i="100"/>
  <c r="L10" i="100"/>
  <c r="D10" i="100"/>
  <c r="O9" i="100"/>
  <c r="N9" i="100"/>
  <c r="L9" i="100"/>
  <c r="D9" i="100"/>
  <c r="O8" i="100"/>
  <c r="N8" i="100"/>
  <c r="L8" i="100"/>
  <c r="D8" i="100"/>
  <c r="O7" i="100"/>
  <c r="N7" i="100"/>
  <c r="L7" i="100"/>
  <c r="D7" i="100"/>
  <c r="O6" i="100"/>
  <c r="N6" i="100"/>
  <c r="L6" i="100"/>
  <c r="D6" i="100"/>
  <c r="T29" i="100" l="1"/>
  <c r="T47" i="100"/>
  <c r="L16" i="100"/>
  <c r="N16" i="100" s="1"/>
  <c r="T27" i="100"/>
  <c r="T43" i="100"/>
  <c r="T51" i="100"/>
  <c r="T33" i="100"/>
  <c r="D16" i="100"/>
  <c r="O16" i="100" s="1"/>
  <c r="T49" i="100"/>
  <c r="G34" i="100"/>
  <c r="H34" i="100"/>
  <c r="I34" i="100"/>
  <c r="L34" i="100"/>
  <c r="T45" i="100"/>
  <c r="L39" i="100" l="1"/>
  <c r="D34" i="100"/>
  <c r="O29" i="100" s="1"/>
  <c r="O31" i="100" s="1"/>
  <c r="O34" i="100" s="1"/>
  <c r="L41" i="100" s="1"/>
  <c r="O39" i="100"/>
  <c r="O41" i="100" l="1"/>
  <c r="E40" i="100"/>
  <c r="E41" i="100" s="1"/>
  <c r="E42" i="100" s="1"/>
  <c r="D36" i="100"/>
  <c r="O37" i="100"/>
  <c r="E43" i="100" l="1"/>
  <c r="P19" i="11" l="1"/>
  <c r="L19" i="11"/>
  <c r="K19" i="11"/>
  <c r="E45" i="92" l="1"/>
  <c r="E44" i="92"/>
  <c r="E41" i="92"/>
  <c r="F41" i="92" s="1"/>
  <c r="C29" i="92"/>
  <c r="G31" i="92"/>
  <c r="B32" i="92"/>
  <c r="C32" i="92" s="1"/>
  <c r="D32" i="92" s="1"/>
  <c r="B30" i="92"/>
  <c r="AL19" i="11" l="1"/>
  <c r="L50" i="89" l="1"/>
  <c r="L48" i="89"/>
  <c r="L46" i="89"/>
  <c r="L44" i="89"/>
  <c r="I44" i="89"/>
  <c r="N44" i="89" s="1"/>
  <c r="E44" i="89"/>
  <c r="F44" i="89" s="1"/>
  <c r="F43" i="89"/>
  <c r="N42" i="89"/>
  <c r="L42" i="89"/>
  <c r="F42" i="89"/>
  <c r="L37" i="89"/>
  <c r="L35" i="89"/>
  <c r="I35" i="89"/>
  <c r="I37" i="89" s="1"/>
  <c r="N37" i="89" s="1"/>
  <c r="E35" i="89"/>
  <c r="F35" i="89" s="1"/>
  <c r="F34" i="89"/>
  <c r="N33" i="89"/>
  <c r="L33" i="89"/>
  <c r="F33" i="89"/>
  <c r="A31" i="89"/>
  <c r="C31" i="89" s="1"/>
  <c r="D31" i="89" s="1"/>
  <c r="N28" i="89"/>
  <c r="L28" i="89"/>
  <c r="N26" i="89"/>
  <c r="F26" i="89"/>
  <c r="G26" i="89" s="1"/>
  <c r="L26" i="89" s="1"/>
  <c r="L21" i="89"/>
  <c r="E21" i="89"/>
  <c r="D21" i="89"/>
  <c r="L19" i="89"/>
  <c r="B19" i="89"/>
  <c r="A19" i="89"/>
  <c r="L17" i="89"/>
  <c r="L15" i="89"/>
  <c r="F15" i="89"/>
  <c r="B15" i="89"/>
  <c r="A15" i="89"/>
  <c r="F14" i="89"/>
  <c r="L13" i="89"/>
  <c r="F13" i="89"/>
  <c r="G13" i="89" s="1"/>
  <c r="N35" i="89" l="1"/>
  <c r="N13" i="89"/>
  <c r="G15" i="89"/>
  <c r="B31" i="89"/>
  <c r="I46" i="89"/>
  <c r="H47" i="88"/>
  <c r="D6" i="88"/>
  <c r="D63" i="88"/>
  <c r="B63" i="88"/>
  <c r="H62" i="88"/>
  <c r="D62" i="88"/>
  <c r="B62" i="88"/>
  <c r="H61" i="88"/>
  <c r="D61" i="88"/>
  <c r="B61" i="88"/>
  <c r="H60" i="88"/>
  <c r="D60" i="88"/>
  <c r="B60" i="88"/>
  <c r="H59" i="88"/>
  <c r="D59" i="88"/>
  <c r="B59" i="88"/>
  <c r="H58" i="88"/>
  <c r="D58" i="88"/>
  <c r="B58" i="88"/>
  <c r="H57" i="88"/>
  <c r="D57" i="88"/>
  <c r="B57" i="88"/>
  <c r="H56" i="88"/>
  <c r="D56" i="88"/>
  <c r="B56" i="88"/>
  <c r="H55" i="88"/>
  <c r="F63" i="88"/>
  <c r="F55" i="88"/>
  <c r="D55" i="88"/>
  <c r="B55" i="88"/>
  <c r="H54" i="88"/>
  <c r="F62" i="88"/>
  <c r="F54" i="88"/>
  <c r="D54" i="88"/>
  <c r="B54" i="88"/>
  <c r="H53" i="88"/>
  <c r="F61" i="88"/>
  <c r="F53" i="88"/>
  <c r="D53" i="88"/>
  <c r="B53" i="88"/>
  <c r="H52" i="88"/>
  <c r="F60" i="88"/>
  <c r="F52" i="88"/>
  <c r="D52" i="88"/>
  <c r="B52" i="88"/>
  <c r="H51" i="88"/>
  <c r="F59" i="88"/>
  <c r="F51" i="88"/>
  <c r="D51" i="88"/>
  <c r="B51" i="88"/>
  <c r="H50" i="88"/>
  <c r="F58" i="88"/>
  <c r="F50" i="88"/>
  <c r="D50" i="88"/>
  <c r="B50" i="88"/>
  <c r="H49" i="88"/>
  <c r="F57" i="88"/>
  <c r="F49" i="88"/>
  <c r="D49" i="88"/>
  <c r="B49" i="88"/>
  <c r="H48" i="88"/>
  <c r="F56" i="88"/>
  <c r="F48" i="88"/>
  <c r="D48" i="88"/>
  <c r="B48" i="88"/>
  <c r="F47" i="88"/>
  <c r="D47" i="88"/>
  <c r="B47" i="88"/>
  <c r="D42" i="88"/>
  <c r="D41" i="88"/>
  <c r="D40" i="88"/>
  <c r="D39" i="88"/>
  <c r="D38" i="88"/>
  <c r="D37" i="88"/>
  <c r="D36" i="88"/>
  <c r="D35" i="88"/>
  <c r="D34" i="88"/>
  <c r="D33" i="88"/>
  <c r="D32" i="88"/>
  <c r="D31" i="88"/>
  <c r="D30" i="88"/>
  <c r="D29" i="88"/>
  <c r="D28" i="88"/>
  <c r="D27" i="88"/>
  <c r="H17" i="88"/>
  <c r="F17" i="88"/>
  <c r="D17" i="88"/>
  <c r="H16" i="88"/>
  <c r="F16" i="88"/>
  <c r="D16" i="88"/>
  <c r="H15" i="88"/>
  <c r="F15" i="88"/>
  <c r="D15" i="88"/>
  <c r="H14" i="88"/>
  <c r="F14" i="88"/>
  <c r="D14" i="88"/>
  <c r="H13" i="88"/>
  <c r="F13" i="88"/>
  <c r="D13" i="88"/>
  <c r="H12" i="88"/>
  <c r="F12" i="88"/>
  <c r="D12" i="88"/>
  <c r="H11" i="88"/>
  <c r="F11" i="88"/>
  <c r="D11" i="88"/>
  <c r="H10" i="88"/>
  <c r="F10" i="88"/>
  <c r="D10" i="88"/>
  <c r="H9" i="88"/>
  <c r="F9" i="88"/>
  <c r="H8" i="88"/>
  <c r="F8" i="88"/>
  <c r="D8" i="88"/>
  <c r="H7" i="88"/>
  <c r="F7" i="88"/>
  <c r="D7" i="88"/>
  <c r="H6" i="88"/>
  <c r="F6" i="88"/>
  <c r="D9" i="88"/>
  <c r="I48" i="89" l="1"/>
  <c r="N46" i="89"/>
  <c r="G17" i="89"/>
  <c r="N15" i="89"/>
  <c r="F64" i="88"/>
  <c r="D64" i="88"/>
  <c r="B64" i="88"/>
  <c r="C49" i="88"/>
  <c r="C50" i="88" s="1"/>
  <c r="C51" i="88" s="1"/>
  <c r="C52" i="88" s="1"/>
  <c r="C53" i="88" s="1"/>
  <c r="C54" i="88" s="1"/>
  <c r="C55" i="88" s="1"/>
  <c r="C56" i="88" s="1"/>
  <c r="C57" i="88" s="1"/>
  <c r="C58" i="88" s="1"/>
  <c r="C59" i="88" s="1"/>
  <c r="C60" i="88" s="1"/>
  <c r="C61" i="88" s="1"/>
  <c r="C62" i="88" s="1"/>
  <c r="C63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G48" i="88" s="1"/>
  <c r="G49" i="88" s="1"/>
  <c r="G50" i="88" s="1"/>
  <c r="G51" i="88" s="1"/>
  <c r="G52" i="88" s="1"/>
  <c r="G53" i="88" s="1"/>
  <c r="G54" i="88" s="1"/>
  <c r="G55" i="88" s="1"/>
  <c r="G56" i="88" s="1"/>
  <c r="G57" i="88" s="1"/>
  <c r="G58" i="88" s="1"/>
  <c r="G59" i="88" s="1"/>
  <c r="G60" i="88" s="1"/>
  <c r="G61" i="88" s="1"/>
  <c r="G62" i="88" s="1"/>
  <c r="G63" i="88" s="1"/>
  <c r="I48" i="88" s="1"/>
  <c r="I49" i="88" s="1"/>
  <c r="I50" i="88" s="1"/>
  <c r="I51" i="88" s="1"/>
  <c r="I52" i="88" s="1"/>
  <c r="I53" i="88" s="1"/>
  <c r="I54" i="88" s="1"/>
  <c r="I55" i="88" s="1"/>
  <c r="I56" i="88" s="1"/>
  <c r="I57" i="88" s="1"/>
  <c r="I58" i="88" s="1"/>
  <c r="I59" i="88" s="1"/>
  <c r="I60" i="88" s="1"/>
  <c r="I61" i="88" s="1"/>
  <c r="I62" i="88" s="1"/>
  <c r="I63" i="88" s="1"/>
  <c r="K48" i="88" s="1"/>
  <c r="K49" i="88" s="1"/>
  <c r="K50" i="88" s="1"/>
  <c r="K51" i="88" s="1"/>
  <c r="K52" i="88" s="1"/>
  <c r="K53" i="88" s="1"/>
  <c r="K54" i="88" s="1"/>
  <c r="K55" i="88" s="1"/>
  <c r="K56" i="88" s="1"/>
  <c r="K57" i="88" s="1"/>
  <c r="K58" i="88" s="1"/>
  <c r="K59" i="88" s="1"/>
  <c r="K60" i="88" s="1"/>
  <c r="K61" i="88" s="1"/>
  <c r="K62" i="88" s="1"/>
  <c r="K63" i="88" s="1"/>
  <c r="M48" i="88" s="1"/>
  <c r="M49" i="88" s="1"/>
  <c r="M50" i="88" s="1"/>
  <c r="M51" i="88" s="1"/>
  <c r="M52" i="88" s="1"/>
  <c r="M53" i="88" s="1"/>
  <c r="M54" i="88" s="1"/>
  <c r="M55" i="88" s="1"/>
  <c r="M56" i="88" s="1"/>
  <c r="M57" i="88" s="1"/>
  <c r="M58" i="88" s="1"/>
  <c r="M59" i="88" s="1"/>
  <c r="M60" i="88" s="1"/>
  <c r="M61" i="88" s="1"/>
  <c r="M62" i="88" s="1"/>
  <c r="M63" i="88" s="1"/>
  <c r="C69" i="88" s="1"/>
  <c r="C70" i="88" s="1"/>
  <c r="C71" i="88" s="1"/>
  <c r="C72" i="88" s="1"/>
  <c r="C73" i="88" s="1"/>
  <c r="C74" i="88" s="1"/>
  <c r="C75" i="88" s="1"/>
  <c r="C76" i="88" s="1"/>
  <c r="C77" i="88" s="1"/>
  <c r="C78" i="88" s="1"/>
  <c r="C79" i="88" s="1"/>
  <c r="C80" i="88" s="1"/>
  <c r="C81" i="88" s="1"/>
  <c r="C82" i="88" s="1"/>
  <c r="C83" i="88" s="1"/>
  <c r="C84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G69" i="88" s="1"/>
  <c r="G70" i="88" s="1"/>
  <c r="G71" i="88" s="1"/>
  <c r="G72" i="88" s="1"/>
  <c r="G73" i="88" s="1"/>
  <c r="G74" i="88" s="1"/>
  <c r="G75" i="88" s="1"/>
  <c r="G76" i="88" s="1"/>
  <c r="G77" i="88" s="1"/>
  <c r="G78" i="88" s="1"/>
  <c r="G79" i="88" s="1"/>
  <c r="G80" i="88" s="1"/>
  <c r="G81" i="88" s="1"/>
  <c r="G82" i="88" s="1"/>
  <c r="G83" i="88" s="1"/>
  <c r="G84" i="88" s="1"/>
  <c r="H64" i="88"/>
  <c r="F43" i="88"/>
  <c r="D43" i="88"/>
  <c r="B43" i="88"/>
  <c r="L22" i="88"/>
  <c r="J22" i="88"/>
  <c r="H22" i="88"/>
  <c r="F22" i="88"/>
  <c r="D22" i="88"/>
  <c r="B22" i="88"/>
  <c r="I7" i="88"/>
  <c r="I8" i="88" s="1"/>
  <c r="I9" i="88" s="1"/>
  <c r="I10" i="88" s="1"/>
  <c r="I11" i="88" s="1"/>
  <c r="I12" i="88" s="1"/>
  <c r="I13" i="88" s="1"/>
  <c r="I14" i="88" s="1"/>
  <c r="I15" i="88" s="1"/>
  <c r="I16" i="88" s="1"/>
  <c r="I17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7" i="88"/>
  <c r="E8" i="88" s="1"/>
  <c r="E9" i="88" s="1"/>
  <c r="E10" i="88" s="1"/>
  <c r="E11" i="88" s="1"/>
  <c r="E12" i="88" s="1"/>
  <c r="E13" i="88" s="1"/>
  <c r="E14" i="88" s="1"/>
  <c r="E15" i="88" s="1"/>
  <c r="E16" i="88" s="1"/>
  <c r="E17" i="88" s="1"/>
  <c r="G6" i="88" s="1"/>
  <c r="G7" i="88" s="1"/>
  <c r="G8" i="88" s="1"/>
  <c r="G9" i="88" s="1"/>
  <c r="G10" i="88" s="1"/>
  <c r="G11" i="88" s="1"/>
  <c r="G12" i="88" s="1"/>
  <c r="G13" i="88" s="1"/>
  <c r="G14" i="88" s="1"/>
  <c r="G15" i="88" s="1"/>
  <c r="G16" i="88" s="1"/>
  <c r="G17" i="88" s="1"/>
  <c r="N17" i="89" l="1"/>
  <c r="G19" i="89"/>
  <c r="N48" i="89"/>
  <c r="I50" i="89"/>
  <c r="N50" i="89" s="1"/>
  <c r="G21" i="89" l="1"/>
  <c r="N21" i="89" s="1"/>
  <c r="N19" i="89"/>
  <c r="V62" i="86" l="1"/>
  <c r="V54" i="86"/>
  <c r="V56" i="86"/>
  <c r="V55" i="86"/>
  <c r="V58" i="86"/>
  <c r="O33" i="86"/>
  <c r="V69" i="86"/>
  <c r="V68" i="86"/>
  <c r="V67" i="86"/>
  <c r="V66" i="86"/>
  <c r="V65" i="86"/>
  <c r="V64" i="86"/>
  <c r="V63" i="86"/>
  <c r="V61" i="86"/>
  <c r="V60" i="86"/>
  <c r="V59" i="86"/>
  <c r="V57" i="86"/>
  <c r="O39" i="86"/>
  <c r="O38" i="86"/>
  <c r="O37" i="86"/>
  <c r="O36" i="86"/>
  <c r="O35" i="86"/>
  <c r="O34" i="86"/>
  <c r="O32" i="86"/>
  <c r="O28" i="86"/>
  <c r="O27" i="86"/>
  <c r="O26" i="86"/>
  <c r="E5" i="83"/>
  <c r="E9" i="83"/>
  <c r="C16" i="83"/>
  <c r="E16" i="83" s="1"/>
  <c r="C22" i="83"/>
  <c r="E22" i="83" s="1"/>
  <c r="E23" i="83"/>
  <c r="E24" i="83"/>
  <c r="E25" i="83"/>
  <c r="E31" i="83"/>
  <c r="E36" i="83"/>
  <c r="E39" i="83"/>
  <c r="E40" i="83"/>
  <c r="C47" i="83"/>
  <c r="E47" i="83" s="1"/>
  <c r="C54" i="83"/>
  <c r="E54" i="83" s="1"/>
  <c r="E55" i="83"/>
  <c r="E56" i="83"/>
  <c r="E57" i="83"/>
  <c r="C58" i="83"/>
  <c r="E58" i="83" s="1"/>
  <c r="E59" i="83"/>
  <c r="E67" i="83"/>
  <c r="C68" i="83"/>
  <c r="E68" i="83" s="1"/>
  <c r="C74" i="83"/>
  <c r="D104" i="83" s="1"/>
  <c r="D77" i="83"/>
  <c r="E77" i="83" s="1"/>
  <c r="C78" i="83"/>
  <c r="D78" i="83"/>
  <c r="D85" i="83"/>
  <c r="E85" i="83" s="1"/>
  <c r="C86" i="83"/>
  <c r="D86" i="83"/>
  <c r="E86" i="83" s="1"/>
  <c r="D87" i="83"/>
  <c r="E87" i="83" s="1"/>
  <c r="C88" i="83"/>
  <c r="D88" i="83"/>
  <c r="E95" i="83"/>
  <c r="E98" i="83" s="1"/>
  <c r="B114" i="83"/>
  <c r="B115" i="83"/>
  <c r="B19" i="11"/>
  <c r="C19" i="11"/>
  <c r="D19" i="11"/>
  <c r="E19" i="11"/>
  <c r="F19" i="11"/>
  <c r="G19" i="11"/>
  <c r="H19" i="11"/>
  <c r="I19" i="11"/>
  <c r="M19" i="11"/>
  <c r="N19" i="11"/>
  <c r="O19" i="11"/>
  <c r="Q19" i="11"/>
  <c r="R19" i="11"/>
  <c r="S19" i="11"/>
  <c r="U19" i="11"/>
  <c r="V19" i="11"/>
  <c r="W19" i="11"/>
  <c r="X19" i="11"/>
  <c r="Y19" i="11"/>
  <c r="Z19" i="11"/>
  <c r="AB19" i="11"/>
  <c r="AC19" i="11"/>
  <c r="AD19" i="11"/>
  <c r="AE19" i="11"/>
  <c r="AF19" i="11"/>
  <c r="AG19" i="11"/>
  <c r="AI19" i="11"/>
  <c r="AJ19" i="11"/>
  <c r="AK19" i="11"/>
  <c r="AM19" i="11"/>
  <c r="E78" i="83" l="1"/>
  <c r="E80" i="83" s="1"/>
  <c r="E100" i="83"/>
  <c r="E44" i="83"/>
  <c r="E50" i="83" s="1"/>
  <c r="E88" i="83"/>
  <c r="E28" i="83"/>
  <c r="E33" i="83" s="1"/>
  <c r="E90" i="83"/>
  <c r="E107" i="83" s="1"/>
  <c r="B104" i="83"/>
  <c r="E13" i="83"/>
  <c r="E18" i="83" s="1"/>
  <c r="E61" i="83"/>
  <c r="E111" i="83"/>
  <c r="E104" i="83"/>
  <c r="C65" i="83"/>
  <c r="E65" i="83" s="1"/>
  <c r="E70" i="83" s="1"/>
  <c r="E72" i="83" s="1"/>
  <c r="E106" i="83" s="1"/>
  <c r="B112" i="83"/>
  <c r="G106" i="83" l="1"/>
  <c r="E110" i="83"/>
  <c r="E112" i="83" s="1"/>
  <c r="E115" i="83" s="1"/>
  <c r="E82" i="83"/>
  <c r="E105" i="83"/>
  <c r="E108" i="83"/>
  <c r="E109" i="83" s="1"/>
  <c r="G111" i="8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Elliott</author>
  </authors>
  <commentList>
    <comment ref="E57" authorId="0" shapeId="0" xr:uid="{CD2A73A0-966D-4777-A1AF-D055593F6F9A}">
      <text>
        <r>
          <rPr>
            <b/>
            <sz val="9"/>
            <color indexed="81"/>
            <rFont val="Tahoma"/>
            <family val="2"/>
          </rPr>
          <t>Nick Elliott:</t>
        </r>
        <r>
          <rPr>
            <sz val="9"/>
            <color indexed="81"/>
            <rFont val="Tahoma"/>
            <family val="2"/>
          </rPr>
          <t xml:space="preserve">
All scaled values:
Center line of Row 
+ Row Width / 2
- height(Scaled Width)
</t>
        </r>
      </text>
    </comment>
    <comment ref="E62" authorId="0" shapeId="0" xr:uid="{D07B5681-789D-432F-B265-9FFDBBFFE491}">
      <text>
        <r>
          <rPr>
            <b/>
            <sz val="9"/>
            <color indexed="81"/>
            <rFont val="Tahoma"/>
            <family val="2"/>
          </rPr>
          <t>Nick Elliott:</t>
        </r>
        <r>
          <rPr>
            <sz val="9"/>
            <color indexed="81"/>
            <rFont val="Tahoma"/>
            <family val="2"/>
          </rPr>
          <t xml:space="preserve">
Old
- height
- gap</t>
        </r>
      </text>
    </comment>
  </commentList>
</comments>
</file>

<file path=xl/sharedStrings.xml><?xml version="1.0" encoding="utf-8"?>
<sst xmlns="http://schemas.openxmlformats.org/spreadsheetml/2006/main" count="3176" uniqueCount="1629">
  <si>
    <t>S2Photo.Int</t>
  </si>
  <si>
    <t>S3Photo.Int</t>
  </si>
  <si>
    <t>Laser</t>
  </si>
  <si>
    <t>PD</t>
  </si>
  <si>
    <t>PS</t>
  </si>
  <si>
    <t>X20 POWER SUPPLY MODULE</t>
  </si>
  <si>
    <t>YELLOW</t>
  </si>
  <si>
    <t>BLUE</t>
  </si>
  <si>
    <t>Current (A)</t>
  </si>
  <si>
    <t>12A 24V Power Supply</t>
  </si>
  <si>
    <t>Belt Motor</t>
  </si>
  <si>
    <t>Edge Deletion Motor</t>
  </si>
  <si>
    <t>Vacuum</t>
  </si>
  <si>
    <t>Mains Contactor</t>
  </si>
  <si>
    <t>PIN NO.</t>
  </si>
  <si>
    <t>PLUG 1</t>
  </si>
  <si>
    <t>PLUG 2</t>
  </si>
  <si>
    <t>PLUG 3</t>
  </si>
  <si>
    <t>PLUG 4</t>
  </si>
  <si>
    <t>PLUG 5</t>
  </si>
  <si>
    <t>PLUG 7</t>
  </si>
  <si>
    <t>PLUG 8</t>
  </si>
  <si>
    <t>N</t>
  </si>
  <si>
    <t>PLUG 6</t>
  </si>
  <si>
    <t>PLUG 26</t>
  </si>
  <si>
    <t>PLUG 27</t>
  </si>
  <si>
    <t>S7Photo.In</t>
  </si>
  <si>
    <t>S6Photo.Int</t>
  </si>
  <si>
    <t>S45Foot.In</t>
  </si>
  <si>
    <t>S3Photo.In</t>
  </si>
  <si>
    <t>S4Photo.In</t>
  </si>
  <si>
    <t>S30Reed.In</t>
  </si>
  <si>
    <t>S31Reed.In</t>
  </si>
  <si>
    <t>S9Photo.In</t>
  </si>
  <si>
    <t>S32Reed.In</t>
  </si>
  <si>
    <t>S33Reed.In</t>
  </si>
  <si>
    <t>Loading Conveyor</t>
  </si>
  <si>
    <t xml:space="preserve"> </t>
  </si>
  <si>
    <t>Sol31Pal2</t>
  </si>
  <si>
    <t>Sol33Pal4</t>
  </si>
  <si>
    <t>Sol3Blt3</t>
  </si>
  <si>
    <t>Sol4Blt4</t>
  </si>
  <si>
    <t>Sol10Blt5</t>
  </si>
  <si>
    <t>Sol11Blt6</t>
  </si>
  <si>
    <t>Sol22DT3</t>
  </si>
  <si>
    <t>Sol12Blt7</t>
  </si>
  <si>
    <t>Sol13Blt8</t>
  </si>
  <si>
    <t>Sol23DT4</t>
  </si>
  <si>
    <t>Sol1Blt1</t>
  </si>
  <si>
    <t>Sol2Blt2</t>
  </si>
  <si>
    <t>MIXED</t>
  </si>
  <si>
    <t xml:space="preserve">Solenoid Valve 2 Belt 2 </t>
  </si>
  <si>
    <t xml:space="preserve">Solenoid Valve 3 Belt 3 </t>
  </si>
  <si>
    <t xml:space="preserve">Solenoid Valve 4 Belt 4 </t>
  </si>
  <si>
    <t xml:space="preserve">Solenoid Valve 10 Belt 5 </t>
  </si>
  <si>
    <t xml:space="preserve">Solenoid Valve 11 Belt 6 </t>
  </si>
  <si>
    <t>Sol20DT1</t>
  </si>
  <si>
    <t>Sol21DT2</t>
  </si>
  <si>
    <t xml:space="preserve">Solenoid Valve 20 Detension 1 </t>
  </si>
  <si>
    <t xml:space="preserve">Solenoid Valve 21 Detension 2 </t>
  </si>
  <si>
    <t xml:space="preserve">Solenoid Valve 23 Detension 4 </t>
  </si>
  <si>
    <t>MOTION SCALING</t>
  </si>
  <si>
    <t>Units at the load</t>
  </si>
  <si>
    <t>Motor revolutions</t>
  </si>
  <si>
    <t>BELTS1</t>
  </si>
  <si>
    <t>BELTS2</t>
  </si>
  <si>
    <t>ES20</t>
  </si>
  <si>
    <t>ES40</t>
  </si>
  <si>
    <t>-</t>
  </si>
  <si>
    <t>Belts1.Done</t>
  </si>
  <si>
    <t>Belts2.Done</t>
  </si>
  <si>
    <t>174N</t>
  </si>
  <si>
    <t>PLUG 25</t>
  </si>
  <si>
    <t>R</t>
  </si>
  <si>
    <t>G</t>
  </si>
  <si>
    <t>S</t>
  </si>
  <si>
    <t>ES14</t>
  </si>
  <si>
    <t>ES34</t>
  </si>
  <si>
    <t>Pallet</t>
  </si>
  <si>
    <t>PLC</t>
  </si>
  <si>
    <t>Inverter 2.2kW</t>
  </si>
  <si>
    <t>Floatation Fans</t>
  </si>
  <si>
    <t>Recycling Pump</t>
  </si>
  <si>
    <t>Auxiliaries (Laptop and Lamp)</t>
  </si>
  <si>
    <t>Auxiliaries (Fans)</t>
  </si>
  <si>
    <t>Phases</t>
  </si>
  <si>
    <t>Total Amps</t>
  </si>
  <si>
    <t>Br</t>
  </si>
  <si>
    <t>Bl</t>
  </si>
  <si>
    <t>Gr</t>
  </si>
  <si>
    <t>BIT</t>
  </si>
  <si>
    <t>NO</t>
  </si>
  <si>
    <t>Air Conditioning</t>
  </si>
  <si>
    <t>Description</t>
  </si>
  <si>
    <t>Qty</t>
  </si>
  <si>
    <t>Total Current (A)</t>
  </si>
  <si>
    <t>X20  +24VDC POTENTIAL DISTRIBUTION</t>
  </si>
  <si>
    <t>X20  GND POTENTIAL DISTRIBUTION</t>
  </si>
  <si>
    <t>ST11</t>
  </si>
  <si>
    <t>ST12</t>
  </si>
  <si>
    <t>ST13</t>
  </si>
  <si>
    <t>PLUG 19</t>
  </si>
  <si>
    <t>PLUG 20</t>
  </si>
  <si>
    <t>PLUG 21</t>
  </si>
  <si>
    <t>PLUG 22</t>
  </si>
  <si>
    <t>PLUG 23</t>
  </si>
  <si>
    <t>PLUG 24</t>
  </si>
  <si>
    <t>LASER</t>
  </si>
  <si>
    <t>Three Phase Equipment</t>
  </si>
  <si>
    <t>Single Phase Equipment</t>
  </si>
  <si>
    <t>RED</t>
  </si>
  <si>
    <t>MS1Belt1</t>
  </si>
  <si>
    <t>MS3Belt3</t>
  </si>
  <si>
    <t>MS4Belt4</t>
  </si>
  <si>
    <t>MS5Belt5</t>
  </si>
  <si>
    <t>MS6Belt6</t>
  </si>
  <si>
    <t>MS7Belt7</t>
  </si>
  <si>
    <t>MS8Belt8</t>
  </si>
  <si>
    <t>MS2Belt2</t>
  </si>
  <si>
    <t>X20 Panel Inputs</t>
  </si>
  <si>
    <t>X20 Panel Outputs</t>
  </si>
  <si>
    <t>IP</t>
  </si>
  <si>
    <t>X67 Field I/O</t>
  </si>
  <si>
    <t>OP</t>
  </si>
  <si>
    <t>Seamer 1</t>
  </si>
  <si>
    <t>Seamer 2</t>
  </si>
  <si>
    <t>S4Photo.Int</t>
  </si>
  <si>
    <t>S8Photo.Int</t>
  </si>
  <si>
    <t>S12Photo.Int</t>
  </si>
  <si>
    <t>Map X67 inputs correctly to ACOPOS modules.</t>
  </si>
  <si>
    <t>S35Reed.In</t>
  </si>
  <si>
    <t>S14Photo.Int</t>
  </si>
  <si>
    <t>S15Photo.Int</t>
  </si>
  <si>
    <t>S36Reed.In</t>
  </si>
  <si>
    <t>Row Building</t>
  </si>
  <si>
    <t>03</t>
  </si>
  <si>
    <t>04</t>
  </si>
  <si>
    <t>05</t>
  </si>
  <si>
    <t>06</t>
  </si>
  <si>
    <t>07</t>
  </si>
  <si>
    <t>08</t>
  </si>
  <si>
    <t>09</t>
  </si>
  <si>
    <t>PLUG 17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</si>
  <si>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</si>
  <si>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</si>
  <si>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</si>
  <si>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</si>
  <si>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</si>
  <si>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</si>
  <si>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</si>
  <si>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</si>
  <si>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</si>
  <si>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X2X  BUS TRANSMITTER</t>
  </si>
  <si>
    <t>POWERLINK X20 PANEL RACK</t>
  </si>
  <si>
    <t>X2X X67 REMOTE I/O</t>
  </si>
  <si>
    <t>Key</t>
  </si>
  <si>
    <t>DC Supply Only</t>
  </si>
  <si>
    <t>WATER</t>
  </si>
  <si>
    <t>EMO</t>
  </si>
  <si>
    <t>PLUG 18</t>
  </si>
  <si>
    <t>REMOTE</t>
  </si>
  <si>
    <t>10</t>
  </si>
  <si>
    <t>11</t>
  </si>
  <si>
    <t>01</t>
  </si>
  <si>
    <t>02</t>
  </si>
  <si>
    <t>Output</t>
  </si>
  <si>
    <t>Input</t>
  </si>
  <si>
    <t>12</t>
  </si>
  <si>
    <t>Electrical Calculations</t>
  </si>
  <si>
    <t>E = VOLTS</t>
  </si>
  <si>
    <t>P = WATTS</t>
  </si>
  <si>
    <t>Double Check Values</t>
  </si>
  <si>
    <t>R = OHMS</t>
  </si>
  <si>
    <t>A from kW</t>
  </si>
  <si>
    <t>kW from A</t>
  </si>
  <si>
    <t>I = AMPERES</t>
  </si>
  <si>
    <t>HP = HORSEPOWER</t>
  </si>
  <si>
    <t>PF = POWER FACTOR</t>
  </si>
  <si>
    <t>kW = KILOWATTS</t>
  </si>
  <si>
    <t>kWh = KILOWATT HOUR</t>
  </si>
  <si>
    <t>VA = VOLT-AMPERES</t>
  </si>
  <si>
    <t>kVA = KILOVOLT-AMPERES</t>
  </si>
  <si>
    <t>C = CAPACITANCE</t>
  </si>
  <si>
    <t>Total kW of 3 Phase Equipment</t>
  </si>
  <si>
    <t>DIRECT CURRENT</t>
  </si>
  <si>
    <t xml:space="preserve">AMPS = </t>
  </si>
  <si>
    <t xml:space="preserve">WATTS </t>
  </si>
  <si>
    <t>÷ VOLTS</t>
  </si>
  <si>
    <t>(I = P ÷ E)</t>
  </si>
  <si>
    <t xml:space="preserve">WATTS = </t>
  </si>
  <si>
    <t>VOLTS</t>
  </si>
  <si>
    <t>x AMPS</t>
  </si>
  <si>
    <t>(P = E x I)</t>
  </si>
  <si>
    <t xml:space="preserve">VOLTS = </t>
  </si>
  <si>
    <t>÷ AMPS</t>
  </si>
  <si>
    <t>AC SINGLE PHASE ~1Ø</t>
  </si>
  <si>
    <t>Known Values</t>
  </si>
  <si>
    <t>Amps</t>
  </si>
  <si>
    <t>Volts</t>
  </si>
  <si>
    <t>(Input any two values above)</t>
  </si>
  <si>
    <t>1 Phase KVA</t>
  </si>
  <si>
    <t>KVA</t>
  </si>
  <si>
    <t>=</t>
  </si>
  <si>
    <t>÷ (VOLTS</t>
  </si>
  <si>
    <t>x PF)</t>
  </si>
  <si>
    <t>(I = P ÷ (E x PF))</t>
  </si>
  <si>
    <t>3 Phase KVA</t>
  </si>
  <si>
    <t>Total 3 Phase kW for 1 Phase Equipment</t>
  </si>
  <si>
    <t xml:space="preserve"> x PF</t>
  </si>
  <si>
    <t>(P = E x I x PF)</t>
  </si>
  <si>
    <t>Total kW of 1 Phase Equipment</t>
  </si>
  <si>
    <t>(E = P ÷ I)</t>
  </si>
  <si>
    <t>(Calculated from 1 Phase Amps)</t>
  </si>
  <si>
    <t>VOLT-AMPS</t>
  </si>
  <si>
    <t xml:space="preserve">= VOLTS </t>
  </si>
  <si>
    <t>(VA = E x I)</t>
  </si>
  <si>
    <t>PF =</t>
  </si>
  <si>
    <t>x AMPS)</t>
  </si>
  <si>
    <t>(PF = W ÷ (E x I)</t>
  </si>
  <si>
    <t xml:space="preserve">Figure for customer </t>
  </si>
  <si>
    <t>Actual Value</t>
  </si>
  <si>
    <t>Schematics/BOM</t>
  </si>
  <si>
    <t>MS9Vac1.Trip</t>
  </si>
  <si>
    <t>MS10Vac2.Trip</t>
  </si>
  <si>
    <t>MS11Vac3.Trip</t>
  </si>
  <si>
    <t>MS12Vac4.Trip</t>
  </si>
  <si>
    <t>MS9Vac1</t>
  </si>
  <si>
    <t>MS10Vac2</t>
  </si>
  <si>
    <t>MS11Vac3</t>
  </si>
  <si>
    <t>MS12Vac4</t>
  </si>
  <si>
    <t>CL1</t>
  </si>
  <si>
    <t>CL2</t>
  </si>
  <si>
    <t>CS1</t>
  </si>
  <si>
    <t>CC1</t>
  </si>
  <si>
    <t>CC2</t>
  </si>
  <si>
    <t>CC3</t>
  </si>
  <si>
    <t>CS2</t>
  </si>
  <si>
    <t>HMI</t>
  </si>
  <si>
    <t>171N</t>
  </si>
  <si>
    <t>183N</t>
  </si>
  <si>
    <t>186N</t>
  </si>
  <si>
    <t>VACUUM1</t>
  </si>
  <si>
    <t>VACUUM2</t>
  </si>
  <si>
    <t>ES2</t>
  </si>
  <si>
    <t>ES22</t>
  </si>
  <si>
    <t>ES6</t>
  </si>
  <si>
    <t>ES26</t>
  </si>
  <si>
    <t>ES10</t>
  </si>
  <si>
    <t>ES30</t>
  </si>
  <si>
    <t>AC THREE PHASE ~3Ø</t>
  </si>
  <si>
    <t>x 1.732</t>
  </si>
  <si>
    <t>(I = P ÷ (E x 1.732 x PF))</t>
  </si>
  <si>
    <t>Input Highest of 3 values</t>
  </si>
  <si>
    <t>(VA = E x I x 1.732)</t>
  </si>
  <si>
    <t xml:space="preserve"> INPUT WATTS </t>
  </si>
  <si>
    <t>x 1.732)</t>
  </si>
  <si>
    <t>(PF = W ÷ (E x I x 1.732)</t>
  </si>
  <si>
    <t>OTHER CALCULATIONS</t>
  </si>
  <si>
    <t>Single Phase KVA to 3 Phase KVA</t>
  </si>
  <si>
    <t>Single Phase KVA ÷ 0.55</t>
  </si>
  <si>
    <t>3 Phase KVA to Single Phase KVA</t>
  </si>
  <si>
    <t>3 Phase KVA x 0.55</t>
  </si>
  <si>
    <t>Servo Motors</t>
  </si>
  <si>
    <t>Shunt Trip</t>
  </si>
  <si>
    <t>kW</t>
  </si>
  <si>
    <t>Total kW</t>
  </si>
  <si>
    <t>Recycle Pump Large</t>
  </si>
  <si>
    <t>Evacuation/Recycle Pump</t>
  </si>
  <si>
    <t>SHLD</t>
  </si>
  <si>
    <t>PLUG 9</t>
  </si>
  <si>
    <t>PLUG 10</t>
  </si>
  <si>
    <t>PLUG 11</t>
  </si>
  <si>
    <t>PLUG 12</t>
  </si>
  <si>
    <t>PLUG 13</t>
  </si>
  <si>
    <t>PLUG 14</t>
  </si>
  <si>
    <t>PLUG 15</t>
  </si>
  <si>
    <t>PLUG 16</t>
  </si>
  <si>
    <t>Panel AC Current Consumption</t>
  </si>
  <si>
    <t>Standalone Arrisser</t>
  </si>
  <si>
    <t>Control.Stop</t>
  </si>
  <si>
    <t>MS1Belt1.Trip</t>
  </si>
  <si>
    <t>MS2Belt2.Trip</t>
  </si>
  <si>
    <t>MS3Belt3.Trip</t>
  </si>
  <si>
    <t>MS4Belt4.Trip</t>
  </si>
  <si>
    <t>MS5Belt5.Trip</t>
  </si>
  <si>
    <t>MS6Belt6.Trip</t>
  </si>
  <si>
    <t>MS7Belt7.Trip</t>
  </si>
  <si>
    <t>MS8Belt8.Trip</t>
  </si>
  <si>
    <t>Control.Buzzer</t>
  </si>
  <si>
    <t>Edge</t>
  </si>
  <si>
    <t>P</t>
  </si>
  <si>
    <t>Filstar</t>
  </si>
  <si>
    <t>PE</t>
  </si>
  <si>
    <t>Manuals</t>
  </si>
  <si>
    <t>Distance</t>
  </si>
  <si>
    <t>Delay</t>
  </si>
  <si>
    <t>Block</t>
  </si>
  <si>
    <t>Time</t>
  </si>
  <si>
    <t>CC4</t>
  </si>
  <si>
    <t>JOB SPECIFIC</t>
  </si>
  <si>
    <t>CC5</t>
  </si>
  <si>
    <t>X2X list</t>
  </si>
  <si>
    <t>X2X supervised off</t>
  </si>
  <si>
    <t>X2X DIO</t>
  </si>
  <si>
    <t>X2X Mapping</t>
  </si>
  <si>
    <t>InvPars Enable/Disable Inverters</t>
  </si>
  <si>
    <t>Enable/Disable Inverter</t>
  </si>
  <si>
    <t>IO Program</t>
  </si>
  <si>
    <t>LineConfig Program Commenting</t>
  </si>
  <si>
    <t>ResetBits Program Commenting</t>
  </si>
  <si>
    <t>ConRobot Program Commenting</t>
  </si>
  <si>
    <t>ConFeed Program Commenting</t>
  </si>
  <si>
    <t>ConLoad Program Commenting</t>
  </si>
  <si>
    <t>ConSeam1 Program Commenting</t>
  </si>
  <si>
    <t>Seaming1 Program Commenting</t>
  </si>
  <si>
    <t>ConCorner Program Commenting</t>
  </si>
  <si>
    <t>ConSeam2 Program Commenting</t>
  </si>
  <si>
    <t>Seaming2 Program Commenting</t>
  </si>
  <si>
    <t>ConRunout Program Commenting</t>
  </si>
  <si>
    <t>ConRow Program Commenting</t>
  </si>
  <si>
    <t>ConRows Program Commenting</t>
  </si>
  <si>
    <t>ConBatch Program Commenting</t>
  </si>
  <si>
    <t>WashRunOut Program Commenting</t>
  </si>
  <si>
    <t>Modes Program Commenting</t>
  </si>
  <si>
    <t>Outputs Program Commenting</t>
  </si>
  <si>
    <t>HARDWARE CONFIGURATION</t>
  </si>
  <si>
    <t>SOFTWARE CONFIGURATION</t>
  </si>
  <si>
    <t>VISUALISATION</t>
  </si>
  <si>
    <t>Width</t>
  </si>
  <si>
    <t xml:space="preserve">Control Start PB - NO </t>
  </si>
  <si>
    <t xml:space="preserve">Control Stop PB - NO </t>
  </si>
  <si>
    <t xml:space="preserve">Safety Relay - NC </t>
  </si>
  <si>
    <t xml:space="preserve">Panel Buzzer </t>
  </si>
  <si>
    <t xml:space="preserve">Control Circuit On Indicator </t>
  </si>
  <si>
    <t xml:space="preserve">  </t>
  </si>
  <si>
    <t>Motor Starter 1 - Belt 1 Motor Trip</t>
  </si>
  <si>
    <t xml:space="preserve">Motor Starter 1 - Belt 1 Motor </t>
  </si>
  <si>
    <t>Motor Starter 2 - Belt 2 Motor Trip</t>
  </si>
  <si>
    <t xml:space="preserve">Motor Starter 2 - Belt 2 Motor </t>
  </si>
  <si>
    <t>Motor Starter 3 - Belt 3 Motor Trip</t>
  </si>
  <si>
    <t xml:space="preserve">Motor Starter 3 - Belt 3 Motor </t>
  </si>
  <si>
    <t>Motor Starter 4 - Belt 4 Motor Trip</t>
  </si>
  <si>
    <t xml:space="preserve">Motor Starter 4 - Belt 4 Motor </t>
  </si>
  <si>
    <t>Motor Starter 5 - Belt 5 Motor Trip</t>
  </si>
  <si>
    <t xml:space="preserve">Motor Starter 5 - Belt 5 Motor </t>
  </si>
  <si>
    <t>Motor Starter 6 - Belt 6 Motor Trip</t>
  </si>
  <si>
    <t xml:space="preserve">Motor Starter 6 - Belt 6 Motor </t>
  </si>
  <si>
    <t>Motor Starter 7 - Belt 7 Motor Trip</t>
  </si>
  <si>
    <t xml:space="preserve">Motor Starter 7 - Belt 7 Motor </t>
  </si>
  <si>
    <t>Motor Starter 8 - Belt 8 Motor Trip</t>
  </si>
  <si>
    <t xml:space="preserve">Motor Starter 8 - Belt 8 Motor </t>
  </si>
  <si>
    <t>Motor Starter 9 - Vacuum 1 Pump Trip</t>
  </si>
  <si>
    <t xml:space="preserve">Motor Starter 9 - Vacuum 1 Pump </t>
  </si>
  <si>
    <t>Motor Starter 10 - Vacuum 2 Pump Trip</t>
  </si>
  <si>
    <t xml:space="preserve">Motor Starter 10 - Vacuum 2 Pump </t>
  </si>
  <si>
    <t>Motor Starter 11 - Vacuum 3 Pump Trip</t>
  </si>
  <si>
    <t xml:space="preserve">Motor Starter 11 - Vacuum 3 Pump </t>
  </si>
  <si>
    <t>Motor Starter 12 - Vacuum 4 Pump Trip</t>
  </si>
  <si>
    <t xml:space="preserve">Motor Starter 12 - Vacuum 4 Pump </t>
  </si>
  <si>
    <t>CS2 Process Photoelectric Switch</t>
  </si>
  <si>
    <t>Pallet 2 Up Reed Switch</t>
  </si>
  <si>
    <t>&gt;CBL23</t>
  </si>
  <si>
    <t>&gt;CBL43</t>
  </si>
  <si>
    <t>&gt;CBL22</t>
  </si>
  <si>
    <t>&gt;CBL42</t>
  </si>
  <si>
    <t>Solenoid Valve 1 Belt 1</t>
  </si>
  <si>
    <t>Solenoid Valve 22 Detension 3</t>
  </si>
  <si>
    <t>RM</t>
  </si>
  <si>
    <t>10M</t>
  </si>
  <si>
    <t>SensorInput Program</t>
  </si>
  <si>
    <t>Timeouts Program</t>
  </si>
  <si>
    <t>ms_clock Program</t>
  </si>
  <si>
    <t>Track12</t>
  </si>
  <si>
    <t>Permanent Variables</t>
  </si>
  <si>
    <t>S1Photo.Int</t>
  </si>
  <si>
    <t>Cycle Times Calculation</t>
  </si>
  <si>
    <t>S3Photo.Int (P) to Tracking0.Fin (P)</t>
  </si>
  <si>
    <t>Tracking0.Fin (P) to NOT Tracking1.Blocked (-)</t>
  </si>
  <si>
    <t>Track09</t>
  </si>
  <si>
    <t>Track10</t>
  </si>
  <si>
    <t>Time to Clear</t>
  </si>
  <si>
    <t>Track11</t>
  </si>
  <si>
    <t>NOT Tracking1.Blocked (-) to S3Photo.Int (N)</t>
  </si>
  <si>
    <t>Section 1 Cycle time</t>
  </si>
  <si>
    <t>S3Photo.Int (N) to S4Photo.Int (N)</t>
  </si>
  <si>
    <t>Track29</t>
  </si>
  <si>
    <t>Track30</t>
  </si>
  <si>
    <t>S9Photo.Int (P) to Ax2.SeekFin (P)</t>
  </si>
  <si>
    <t>Track31</t>
  </si>
  <si>
    <t>Ax2.SeekFin (P) to NOT Tracking3.Blocked (-)</t>
  </si>
  <si>
    <t>NOT Tracking3.Blocked (-) to S9Photo.Int (N)</t>
  </si>
  <si>
    <t>Section 2 Cycle time</t>
  </si>
  <si>
    <t>Track32</t>
  </si>
  <si>
    <t>S9Photo.Int (N) to S10Photo.Int (N)</t>
  </si>
  <si>
    <t>Section 3 Cycle time</t>
  </si>
  <si>
    <t>Pallet 2 Down Reed Switch</t>
  </si>
  <si>
    <t>Tilt Table</t>
  </si>
  <si>
    <t>Rotation carriage</t>
  </si>
  <si>
    <t>Laser HMI</t>
  </si>
  <si>
    <t>BELTS3</t>
  </si>
  <si>
    <t>BELTS4</t>
  </si>
  <si>
    <t>PLUG31</t>
  </si>
  <si>
    <t>PLUG32</t>
  </si>
  <si>
    <t>ED1</t>
  </si>
  <si>
    <t>ED2</t>
  </si>
  <si>
    <t>S1Photo.In</t>
  </si>
  <si>
    <t>S8Photo.In</t>
  </si>
  <si>
    <t>Rotation</t>
  </si>
  <si>
    <t>Testing:</t>
  </si>
  <si>
    <t>2M</t>
  </si>
  <si>
    <t>Solenoid Valve 12 Belt 7</t>
  </si>
  <si>
    <t>Solenoid Valve 13 Belt 8</t>
  </si>
  <si>
    <t>Checklist to create Service Visualisation.</t>
  </si>
  <si>
    <t>Delete 'Resources' page.</t>
  </si>
  <si>
    <t>Amend all page numbering</t>
  </si>
  <si>
    <t>Add Page controls</t>
  </si>
  <si>
    <t>Refactor Vis to ServiceVis</t>
  </si>
  <si>
    <t>Refactor Level to ServiceLevel</t>
  </si>
  <si>
    <t>Refactor ServiceVis.EMO to Vis.EMO</t>
  </si>
  <si>
    <t>Any changes made to HMIControl programmes, must be made to ServiceControl programs</t>
  </si>
  <si>
    <t>If 14 true, change all Vis. To ServiceVis. And Level. To ServiceLevel.</t>
  </si>
  <si>
    <t>A</t>
  </si>
  <si>
    <t>B</t>
  </si>
  <si>
    <t>PLC IO</t>
  </si>
  <si>
    <t>C</t>
  </si>
  <si>
    <t>D</t>
  </si>
  <si>
    <t>MIMIC</t>
  </si>
  <si>
    <t>E</t>
  </si>
  <si>
    <t>F</t>
  </si>
  <si>
    <t>SERVOS</t>
  </si>
  <si>
    <t>H</t>
  </si>
  <si>
    <t>OPTIONS</t>
  </si>
  <si>
    <t>J</t>
  </si>
  <si>
    <t>REMOTE IO</t>
  </si>
  <si>
    <t>K</t>
  </si>
  <si>
    <t>L</t>
  </si>
  <si>
    <t>RECOVERY</t>
  </si>
  <si>
    <t>M</t>
  </si>
  <si>
    <t>DEFAULTS</t>
  </si>
  <si>
    <t>INTERFACE</t>
  </si>
  <si>
    <t>CF CARD</t>
  </si>
  <si>
    <t>VNC</t>
  </si>
  <si>
    <t>T</t>
  </si>
  <si>
    <t>TILT TABLE</t>
  </si>
  <si>
    <t>U</t>
  </si>
  <si>
    <t>THREE SIDED</t>
  </si>
  <si>
    <t>Track102</t>
  </si>
  <si>
    <t>Track107</t>
  </si>
  <si>
    <t>Track108</t>
  </si>
  <si>
    <t>Track109</t>
  </si>
  <si>
    <t>Track10A</t>
  </si>
  <si>
    <t>Track from CL1.o.Fwd[0] (P) to S1Photo.Int (P)</t>
  </si>
  <si>
    <t>Track from S1Photo.Int (P) to S31Reed.In (P)</t>
  </si>
  <si>
    <t>Track from S31Reed.In (P) to CL2Slow.Q (P)</t>
  </si>
  <si>
    <t>Track from CL2Slow.Q (P) to S30Reed.In (P)</t>
  </si>
  <si>
    <t>Track from S30Reed.In (P) to S3Photo.Int (P)</t>
  </si>
  <si>
    <t>Track413</t>
  </si>
  <si>
    <t>Track414</t>
  </si>
  <si>
    <t>Track415</t>
  </si>
  <si>
    <t>Track from S4Photo.Int (N) to Belts1.Done (P)</t>
  </si>
  <si>
    <t>Track from Belts1.Done (P) to S25Photo.Int (P)</t>
  </si>
  <si>
    <t>Track from S25Photo.Int (P) to NOT Tracking501.Blocked (-)</t>
  </si>
  <si>
    <t>Track from NOT Tracking501.Blocked (-) to S6Photo.Int (P)</t>
  </si>
  <si>
    <t>Track from S6Photo.Int (P) to CC1Slow.Q (P)</t>
  </si>
  <si>
    <t>Track from CC1Slow.Q (P) to S33Reed.In (P)</t>
  </si>
  <si>
    <t>Track516</t>
  </si>
  <si>
    <t>Track517</t>
  </si>
  <si>
    <t>Track519</t>
  </si>
  <si>
    <t>Track26</t>
  </si>
  <si>
    <t>Track27</t>
  </si>
  <si>
    <t>Track from S8Photo.Int (P) to S9Photo.Int (P)</t>
  </si>
  <si>
    <t>Section 1 End loading to Seamer 1</t>
  </si>
  <si>
    <t>Track34</t>
  </si>
  <si>
    <t>Track35</t>
  </si>
  <si>
    <t>Track38</t>
  </si>
  <si>
    <t>Track39</t>
  </si>
  <si>
    <t>Track from S10Photo.Int (N) to S14Photo.Int (P)</t>
  </si>
  <si>
    <t>Track from S14Photo.Int (P) to S15Photo.Int (P)</t>
  </si>
  <si>
    <t>Track from S15Photo.Int (P) to S15Photo.Int (N)</t>
  </si>
  <si>
    <t>Track from S15Photo.Int (N) to S15Photo.Int (P)</t>
  </si>
  <si>
    <t>Number in row</t>
  </si>
  <si>
    <t>Pallet Down</t>
  </si>
  <si>
    <t>Track from S15Photo.Int (P) to RowTemp.Done (P)</t>
  </si>
  <si>
    <t>Track from RowTemp.Done (P) to Centering.Q (P)</t>
  </si>
  <si>
    <t>Track from Centering.Q (P) to S36Reed.In (P)</t>
  </si>
  <si>
    <t>Track51</t>
  </si>
  <si>
    <t>Track52</t>
  </si>
  <si>
    <t>Track53</t>
  </si>
  <si>
    <t>Track154</t>
  </si>
  <si>
    <t>Track155</t>
  </si>
  <si>
    <t>Track from S36Reed.In (P) to S17Photo.Int (P)</t>
  </si>
  <si>
    <t>Track from S17Photo.Int (P) to S17Photo.Int (N)</t>
  </si>
  <si>
    <t>Track256</t>
  </si>
  <si>
    <t>Track257</t>
  </si>
  <si>
    <t>Track from S17Photo.Int (N) to S18Photo.Int (P)</t>
  </si>
  <si>
    <t>Track from S18Photo.Int (P) to S18Photo.Int (N)</t>
  </si>
  <si>
    <t>Track558</t>
  </si>
  <si>
    <t>Track559</t>
  </si>
  <si>
    <t>Track from S18Photo.Int (N) to S31Photo.Int (P)</t>
  </si>
  <si>
    <t>Track from S31Photo.Int (P) to WR1Slow.Q (P)</t>
  </si>
  <si>
    <t>Track62</t>
  </si>
  <si>
    <t>Track64</t>
  </si>
  <si>
    <t>Track from CLBSlow.Q (P) to LoadTemp.Done (P)</t>
  </si>
  <si>
    <t>Track from S18Photo.Int (P) to CLBClear.Q (P)</t>
  </si>
  <si>
    <t>Pivot Conveyor</t>
  </si>
  <si>
    <t>Length</t>
  </si>
  <si>
    <t>Assume 500mm of glass placed on conveyor</t>
  </si>
  <si>
    <t>Speed</t>
  </si>
  <si>
    <t>Dist in mm</t>
  </si>
  <si>
    <t>Back edge of glass to clear C1</t>
  </si>
  <si>
    <t>Time before next loading</t>
  </si>
  <si>
    <t>Pallet Lift</t>
  </si>
  <si>
    <t>Squaring Delay</t>
  </si>
  <si>
    <t>Pallet Lower</t>
  </si>
  <si>
    <t>To Seek and Find position</t>
  </si>
  <si>
    <t>Seek and Find</t>
  </si>
  <si>
    <t>Waiting for following conveyors to clear</t>
  </si>
  <si>
    <t>Back edge of glass to clear Process sensor</t>
  </si>
  <si>
    <t>Back edge of glass to clear grinding belts</t>
  </si>
  <si>
    <t>Section 2 Seamer 1 to End of C3</t>
  </si>
  <si>
    <t>Leading edge to end of C3</t>
  </si>
  <si>
    <t>Time before following section can restart</t>
  </si>
  <si>
    <t>To slow down sensor C4.</t>
  </si>
  <si>
    <t>Squaring to Datum</t>
  </si>
  <si>
    <t>Track from S33Reed.In (P) to S8Photo.Int (P)</t>
  </si>
  <si>
    <t>To slow down sensor</t>
  </si>
  <si>
    <t>Back edge of glass to clear C4</t>
  </si>
  <si>
    <t>Section 3 End of C3 to Seamer 2</t>
  </si>
  <si>
    <t>Move Row to C7</t>
  </si>
  <si>
    <t>Leading edge of glass to make C6 start sensor</t>
  </si>
  <si>
    <t>Leading edge of glass to make row building sensor</t>
  </si>
  <si>
    <t>Glass to pass row building sensor</t>
  </si>
  <si>
    <t>Glass to reverse to row building sensor</t>
  </si>
  <si>
    <t>Wait till row building done</t>
  </si>
  <si>
    <t>Centering delay</t>
  </si>
  <si>
    <t>Leading edge to make C6 clear sensor</t>
  </si>
  <si>
    <t>Back edge to clear C6 clear sensor</t>
  </si>
  <si>
    <t>Time to position each piece in row</t>
  </si>
  <si>
    <t>Time to clear row</t>
  </si>
  <si>
    <t>Time for last piece to clear from C4 to C7</t>
  </si>
  <si>
    <t>Clear C7 into washer</t>
  </si>
  <si>
    <t>Leading edge to make C7 clear sensor</t>
  </si>
  <si>
    <t>Back edge to clear C7 clear sensor</t>
  </si>
  <si>
    <t>Row to clear into washer</t>
  </si>
  <si>
    <t>From row complete into washer</t>
  </si>
  <si>
    <t>Leading edge to make batching sensor</t>
  </si>
  <si>
    <t>Back edge to clear batching sensor and stop delay</t>
  </si>
  <si>
    <t>C7 to batching position</t>
  </si>
  <si>
    <t>Waiting for batching complete. Calculated from following rows.</t>
  </si>
  <si>
    <t>Pivot conveyor</t>
  </si>
  <si>
    <t>Clear full load onto furnace conveyor</t>
  </si>
  <si>
    <t>Restart time for row waiting before washer</t>
  </si>
  <si>
    <t>Rows can be released into washer as pivot rotates back. Pivot is quicker than transport through washer</t>
  </si>
  <si>
    <t>Summary.</t>
  </si>
  <si>
    <t>*1</t>
  </si>
  <si>
    <t>TIME FOR ROW TO COMPLETE AND CLEAR C6</t>
  </si>
  <si>
    <t>*2</t>
  </si>
  <si>
    <t>*1 - *2</t>
  </si>
  <si>
    <t>*3</t>
  </si>
  <si>
    <t>TIME FOR ROW TO REACH BATCHING POSITION</t>
  </si>
  <si>
    <t>*4</t>
  </si>
  <si>
    <t>*5</t>
  </si>
  <si>
    <t>*11</t>
  </si>
  <si>
    <t>TIME BEFORE NEXT ROW READY AND AT END C7</t>
  </si>
  <si>
    <t>*12</t>
  </si>
  <si>
    <t>*13</t>
  </si>
  <si>
    <t>*13 - *12</t>
  </si>
  <si>
    <t>TIME AFTER BATCH COMPLETE BEFORE ROW AT END C7</t>
  </si>
  <si>
    <t>TIME BEFORE FOLLOWING ROW READY</t>
  </si>
  <si>
    <t>*14</t>
  </si>
  <si>
    <t>*1+*2+*4+*11</t>
  </si>
  <si>
    <t>*6</t>
  </si>
  <si>
    <t>*1+*11+*5+*6</t>
  </si>
  <si>
    <t>WILL PRECEDING ROW BE CLEAR BEFORE THIS?</t>
  </si>
  <si>
    <t>IS THIS TIME LESS THAN TIME FOR NEXT GLASS?</t>
  </si>
  <si>
    <t>*7</t>
  </si>
  <si>
    <t>*8</t>
  </si>
  <si>
    <t>*7+*8</t>
  </si>
  <si>
    <t>*15</t>
  </si>
  <si>
    <t>*1+*15</t>
  </si>
  <si>
    <t>Washer Speed</t>
  </si>
  <si>
    <t>Solenoid Valve 30 Pallet 1</t>
  </si>
  <si>
    <t>LoadDisplay.Count = 1</t>
  </si>
  <si>
    <t>Row 1</t>
  </si>
  <si>
    <t>Row 2</t>
  </si>
  <si>
    <t>LoadDisplay.Count = 2</t>
  </si>
  <si>
    <t>Width[0] = 0.0</t>
  </si>
  <si>
    <t>Width[0] &gt; 0.0</t>
  </si>
  <si>
    <t>Row 3</t>
  </si>
  <si>
    <t>LoadDisplay.Count = 3</t>
  </si>
  <si>
    <t>Row 4</t>
  </si>
  <si>
    <t>LoadDisplay.Count = 4</t>
  </si>
  <si>
    <t>Row 5</t>
  </si>
  <si>
    <t>I</t>
  </si>
  <si>
    <t>O</t>
  </si>
  <si>
    <t>45 POSSIBLE COMBINATIONS WITH UP TO 4 PIECES</t>
  </si>
  <si>
    <t>93 POSSIBLE COMBINATIONS WITH UP TO 5 PIECES</t>
  </si>
  <si>
    <t>Pause</t>
  </si>
  <si>
    <t>WASHER HEIGHT</t>
  </si>
  <si>
    <t>W</t>
  </si>
  <si>
    <t xml:space="preserve">INVERTERS </t>
  </si>
  <si>
    <t>PIVOT CONVEYOR</t>
  </si>
  <si>
    <t>Control.Empty Conditions</t>
  </si>
  <si>
    <t>Track13 Conditions</t>
  </si>
  <si>
    <t>Track33 Conditions</t>
  </si>
  <si>
    <t>Batch Clear Bits</t>
  </si>
  <si>
    <t>P10_MENU</t>
  </si>
  <si>
    <t>P11_MIMIC</t>
  </si>
  <si>
    <t>P12_OPTIONS</t>
  </si>
  <si>
    <t>P13_SETTINGS</t>
  </si>
  <si>
    <t>P14_DRIVES</t>
  </si>
  <si>
    <t>P15_SERVOS</t>
  </si>
  <si>
    <t>P16_RIO</t>
  </si>
  <si>
    <t>P17_ALARM</t>
  </si>
  <si>
    <t>P18_WARNING</t>
  </si>
  <si>
    <t>P19_EVENT</t>
  </si>
  <si>
    <t>P20_ASHTON_TECH</t>
  </si>
  <si>
    <t>P21_SDM</t>
  </si>
  <si>
    <t>WashHeight Program commenting</t>
  </si>
  <si>
    <t>COMMON LAYERS:</t>
  </si>
  <si>
    <t>WASHHEIGHT</t>
  </si>
  <si>
    <t>SETTINGS</t>
  </si>
  <si>
    <t>Add object, new visualisation (Empty).</t>
  </si>
  <si>
    <t>S6Photo.In</t>
  </si>
  <si>
    <t>S16Photo.In</t>
  </si>
  <si>
    <t>S37Reed.In</t>
  </si>
  <si>
    <t>&gt;CBL21</t>
  </si>
  <si>
    <t>&gt;CBL41</t>
  </si>
  <si>
    <t>Solenoid Valve 33 Pallet 4</t>
  </si>
  <si>
    <t>KW</t>
  </si>
  <si>
    <t>A (400V)</t>
  </si>
  <si>
    <t>A (480V)</t>
  </si>
  <si>
    <t>FULL LOAD KW =</t>
  </si>
  <si>
    <t>FULL LOAD KVA =</t>
  </si>
  <si>
    <t>FULL LOAD A (EUROPE) =</t>
  </si>
  <si>
    <t>FULL LOAD A (US) =</t>
  </si>
  <si>
    <t>S14Photo.In</t>
  </si>
  <si>
    <t>S15Photo.In</t>
  </si>
  <si>
    <t>End Loading Start Footpedal</t>
  </si>
  <si>
    <t>&gt;CBL24</t>
  </si>
  <si>
    <t>&gt;CBL44</t>
  </si>
  <si>
    <t>Rectangle</t>
  </si>
  <si>
    <t>5 x 0.5 x 0.35m</t>
  </si>
  <si>
    <t>Text</t>
  </si>
  <si>
    <t>y1(Top)</t>
  </si>
  <si>
    <t>x1(Left)</t>
  </si>
  <si>
    <t>y2(Height)</t>
  </si>
  <si>
    <t>x2(Width)</t>
  </si>
  <si>
    <t>Left</t>
  </si>
  <si>
    <t>Top</t>
  </si>
  <si>
    <t>2 x 1.8 x 1.0m</t>
  </si>
  <si>
    <t>3 x 1.5 x 0.7m</t>
  </si>
  <si>
    <t>Width + Gap</t>
  </si>
  <si>
    <t>5 x 0.9 x 0.4m</t>
  </si>
  <si>
    <t>Delete SRVXGA Visualisation.</t>
  </si>
  <si>
    <t>Import 'HMI' visualisation, overwrite where necessary, into new visualisation 'SRVXGA'.</t>
  </si>
  <si>
    <t>Default&gt;Page</t>
  </si>
  <si>
    <t>P00_INITIALIZE</t>
  </si>
  <si>
    <t>Page&gt;ChangeDatapoint</t>
  </si>
  <si>
    <t>PLC.VisControl.ServiceVis.Page.New</t>
  </si>
  <si>
    <t>Page&gt;CurrentDatapoint</t>
  </si>
  <si>
    <t>PLC.VisControl.ServiceVis.Page.Current</t>
  </si>
  <si>
    <t>ETH1 Configuration</t>
  </si>
  <si>
    <t>VNC Server 2&gt; VC object name</t>
  </si>
  <si>
    <t>SRVXGA</t>
  </si>
  <si>
    <t>Add VNC passwords to ETH1 Configuration</t>
  </si>
  <si>
    <t>Change TouchPad in Color &gt; Numeric &gt; Input Styleclass to Numpad</t>
  </si>
  <si>
    <t>Tracking68.Index</t>
  </si>
  <si>
    <t>Parameter</t>
  </si>
  <si>
    <t>INV1</t>
  </si>
  <si>
    <t>INV3</t>
  </si>
  <si>
    <t>INV4</t>
  </si>
  <si>
    <t>INV5</t>
  </si>
  <si>
    <t>INV6</t>
  </si>
  <si>
    <t>INV8</t>
  </si>
  <si>
    <t>INV9</t>
  </si>
  <si>
    <t>INV12</t>
  </si>
  <si>
    <t>INV13</t>
  </si>
  <si>
    <t>XM00152</t>
  </si>
  <si>
    <t>XM00157</t>
  </si>
  <si>
    <t>XM00151</t>
  </si>
  <si>
    <t>XM00155</t>
  </si>
  <si>
    <t>NPR</t>
  </si>
  <si>
    <t>Cos</t>
  </si>
  <si>
    <t>COS</t>
  </si>
  <si>
    <t>Rated Motor Voltage</t>
  </si>
  <si>
    <t>UNS</t>
  </si>
  <si>
    <t>Rated Motor Current</t>
  </si>
  <si>
    <t>NCR</t>
  </si>
  <si>
    <t>Rated Motor Frequency</t>
  </si>
  <si>
    <t>FRS</t>
  </si>
  <si>
    <t>Rated Motor Speed</t>
  </si>
  <si>
    <t>NSP</t>
  </si>
  <si>
    <t>V</t>
  </si>
  <si>
    <t>Mimic Help</t>
  </si>
  <si>
    <t>Position 1</t>
  </si>
  <si>
    <t>Vis.P11.Status[8]</t>
  </si>
  <si>
    <t>Vis.P11.Layers.Layer1</t>
  </si>
  <si>
    <t>Tracking00.Busy</t>
  </si>
  <si>
    <t>Vis.P11.Status[9]</t>
  </si>
  <si>
    <t>Vis.P11.Layers.Layer4</t>
  </si>
  <si>
    <t>Vis.P11.Layers.Layer7</t>
  </si>
  <si>
    <t>Position 2</t>
  </si>
  <si>
    <t>Position 3</t>
  </si>
  <si>
    <t>Vis.P11.Status1[5]</t>
  </si>
  <si>
    <t>Position 4</t>
  </si>
  <si>
    <t>Runtime</t>
  </si>
  <si>
    <t>Layer</t>
  </si>
  <si>
    <t>Index</t>
  </si>
  <si>
    <t>Type</t>
  </si>
  <si>
    <t>RESET</t>
  </si>
  <si>
    <t>BLOCK</t>
  </si>
  <si>
    <t>Vis.P11.Layers.Layer5</t>
  </si>
  <si>
    <t>Vis.P11.Layers.Layer6</t>
  </si>
  <si>
    <t>Position 5</t>
  </si>
  <si>
    <t>Position 6</t>
  </si>
  <si>
    <t>Position 7</t>
  </si>
  <si>
    <t>Position 8</t>
  </si>
  <si>
    <t>Vis.P11.Status[0]</t>
  </si>
  <si>
    <t>Vis.P11.Status1[0]</t>
  </si>
  <si>
    <t>Vis.P11.Status[1]</t>
  </si>
  <si>
    <t>Vis.P11.Status[2]</t>
  </si>
  <si>
    <t>Vis.P11.Status[3]</t>
  </si>
  <si>
    <t>Vis.P11.Status[4]</t>
  </si>
  <si>
    <t>Vis.P11.Status[5]</t>
  </si>
  <si>
    <t>Vis.P11.Status[6]</t>
  </si>
  <si>
    <t>Vis.P11.Status[7]</t>
  </si>
  <si>
    <t>Vis.P11.Status1[1]</t>
  </si>
  <si>
    <t>Vis.P11.Status1[2]</t>
  </si>
  <si>
    <t>Vis.P11.Status1[3]</t>
  </si>
  <si>
    <t>Vis.P11.Status1[4]</t>
  </si>
  <si>
    <t>Vis.P11.Status1[6]</t>
  </si>
  <si>
    <t>Vis.P11.Status1[7]</t>
  </si>
  <si>
    <t>Vis.P11.Status1[8]</t>
  </si>
  <si>
    <t>Vis.P11.Status1[9]</t>
  </si>
  <si>
    <t>Vis.P11.Status1[10]</t>
  </si>
  <si>
    <t>Vis.P11.Layers.Layer2</t>
  </si>
  <si>
    <t>Vis.P11.Layers.Layer3</t>
  </si>
  <si>
    <t>Vis.P11.Layers.Layer8</t>
  </si>
  <si>
    <t>Analog scaling</t>
  </si>
  <si>
    <t>Batching Modes Drop down</t>
  </si>
  <si>
    <t>Track584 Block</t>
  </si>
  <si>
    <t>Track681</t>
  </si>
  <si>
    <t>Track682</t>
  </si>
  <si>
    <t>Track683</t>
  </si>
  <si>
    <t>Delay for resetting multiple, CF2Slow1</t>
  </si>
  <si>
    <t>CRE Speed on Washer Tab</t>
  </si>
  <si>
    <t>Analog Scaling</t>
  </si>
  <si>
    <t>0-10V</t>
  </si>
  <si>
    <t>0HZ</t>
  </si>
  <si>
    <t>50Hz</t>
  </si>
  <si>
    <t>Raw Value</t>
  </si>
  <si>
    <t>Actual Speed m/min</t>
  </si>
  <si>
    <t>10m/min</t>
  </si>
  <si>
    <t>Create .SpeedAnalog to use in place of Speeds.Speed**** when using Analog following.</t>
  </si>
  <si>
    <t>Use e.g. ScalePerm.CREScale</t>
  </si>
  <si>
    <t>e.g.</t>
  </si>
  <si>
    <t>Record Raw Value and actual speed of external equipment into permanent variables. Overwrite every time it is recorded.</t>
  </si>
  <si>
    <t>Use Actual speed to compare to 50m/min frequency of CRE.</t>
  </si>
  <si>
    <t>Scale values so that Analog Raw value equates to Frequency.</t>
  </si>
  <si>
    <t>MODES</t>
  </si>
  <si>
    <t>Modes</t>
  </si>
  <si>
    <t>Loading</t>
  </si>
  <si>
    <t>Single</t>
  </si>
  <si>
    <t>Multi</t>
  </si>
  <si>
    <t>Batch Furnace</t>
  </si>
  <si>
    <t>Auto</t>
  </si>
  <si>
    <t>Pair</t>
  </si>
  <si>
    <t>Fours</t>
  </si>
  <si>
    <t>Offline Batching</t>
  </si>
  <si>
    <t>Continuous Furnace</t>
  </si>
  <si>
    <t>Offline loading</t>
  </si>
  <si>
    <t>Furnace Change</t>
  </si>
  <si>
    <t>Furnace Clear</t>
  </si>
  <si>
    <t>Pulse</t>
  </si>
  <si>
    <t>On</t>
  </si>
  <si>
    <t>DRIVES</t>
  </si>
  <si>
    <t>B10JB</t>
  </si>
  <si>
    <t>BT</t>
  </si>
  <si>
    <t>CS3</t>
  </si>
  <si>
    <t>CC6</t>
  </si>
  <si>
    <t>CS4</t>
  </si>
  <si>
    <t>PLUG28</t>
  </si>
  <si>
    <t xml:space="preserve">PLUG33 </t>
  </si>
  <si>
    <t>PLUG34</t>
  </si>
  <si>
    <t>EXTRACT1</t>
  </si>
  <si>
    <t>EXTRACT2</t>
  </si>
  <si>
    <t>PLUG 39</t>
  </si>
  <si>
    <t>ES42</t>
  </si>
  <si>
    <t>ES62</t>
  </si>
  <si>
    <t>ES46</t>
  </si>
  <si>
    <t>ES66</t>
  </si>
  <si>
    <t>ES50</t>
  </si>
  <si>
    <t>ES70</t>
  </si>
  <si>
    <t>ES54</t>
  </si>
  <si>
    <t>ES74</t>
  </si>
  <si>
    <t>ES60</t>
  </si>
  <si>
    <t>ES80</t>
  </si>
  <si>
    <t>S2Photo.In</t>
  </si>
  <si>
    <t>Pallet 1 Down Reed Switch</t>
  </si>
  <si>
    <t>Pallet 1 Up Reed Switch</t>
  </si>
  <si>
    <t>ST10</t>
  </si>
  <si>
    <t>15M</t>
  </si>
  <si>
    <t>0M</t>
  </si>
  <si>
    <t>5M</t>
  </si>
  <si>
    <t>S5Photo.In</t>
  </si>
  <si>
    <t>Sol30Pal1</t>
  </si>
  <si>
    <t>Sol32Pal3</t>
  </si>
  <si>
    <t>Sol24DG1</t>
  </si>
  <si>
    <t>Solenoid Valve 32 Pallet 3</t>
  </si>
  <si>
    <t>Solenoid Valve 24 Datum Gate 1</t>
  </si>
  <si>
    <t>S50Reed.In</t>
  </si>
  <si>
    <t>S34Reed.In</t>
  </si>
  <si>
    <t>Pallet 3 Down Reed Switch</t>
  </si>
  <si>
    <t>Pallet 3 Up Reed Switch</t>
  </si>
  <si>
    <t>S12Photo.In</t>
  </si>
  <si>
    <t>S13Photo.In</t>
  </si>
  <si>
    <t>Pallet 4 Down Reed Switch</t>
  </si>
  <si>
    <t>Pallet 4 Up Reed Switch</t>
  </si>
  <si>
    <t>3M</t>
  </si>
  <si>
    <t>LASER ENCLOSURE</t>
  </si>
  <si>
    <t>CABLES FOR CONTROL BUTTONS AND LAMPS</t>
  </si>
  <si>
    <t>IN LINE SOCKETS FOR DUST EXTRACTION</t>
  </si>
  <si>
    <t>X2</t>
  </si>
  <si>
    <t>4L1</t>
  </si>
  <si>
    <t>4L3</t>
  </si>
  <si>
    <t>4L2</t>
  </si>
  <si>
    <t>Pole 4</t>
  </si>
  <si>
    <t>Tracking11</t>
  </si>
  <si>
    <t>S7Photo.Int</t>
  </si>
  <si>
    <t>TrackBit Function Block</t>
  </si>
  <si>
    <t>VAR_INPUT</t>
  </si>
  <si>
    <t>VAR_OUTPUT</t>
  </si>
  <si>
    <t>Done</t>
  </si>
  <si>
    <t>Disp</t>
  </si>
  <si>
    <t>ESDisp</t>
  </si>
  <si>
    <t>SolOUT</t>
  </si>
  <si>
    <t>RunOUT</t>
  </si>
  <si>
    <t>SpeedOUT</t>
  </si>
  <si>
    <t>BOOL</t>
  </si>
  <si>
    <t>USINT</t>
  </si>
  <si>
    <t>REAL</t>
  </si>
  <si>
    <t>Analog</t>
  </si>
  <si>
    <t>During Estop Recovery</t>
  </si>
  <si>
    <t>Set high to disable Conveyor Run Output, iF OFF conveyor run signal will be TRUE.</t>
  </si>
  <si>
    <t>Set high to disable Solenoid activation, if OFF solenoid out signal will be TRUE.</t>
  </si>
  <si>
    <t>TimeoutBlock</t>
  </si>
  <si>
    <t>RunBlock</t>
  </si>
  <si>
    <t>SolBlock</t>
  </si>
  <si>
    <t>UDINT</t>
  </si>
  <si>
    <t>Speed Reference Input.</t>
  </si>
  <si>
    <t>Track Bit Done conditions are TRUE</t>
  </si>
  <si>
    <t>Visualisation control for Track Bit</t>
  </si>
  <si>
    <t>Visualisation control for Track Bit during Estop Recovery</t>
  </si>
  <si>
    <t>Conveyor Run Output</t>
  </si>
  <si>
    <t>Solenoid activation output. Will always be TRUE. Negate as required.</t>
  </si>
  <si>
    <t>Conveyor Run speed reference</t>
  </si>
  <si>
    <t>VAR</t>
  </si>
  <si>
    <t>SpeedAnalog</t>
  </si>
  <si>
    <t>Analog Speed Reference</t>
  </si>
  <si>
    <t>Analog Selection, 0 = No Analog</t>
  </si>
  <si>
    <t>Preset time for timeout</t>
  </si>
  <si>
    <t>Block for timeout, if OFF timeout will continue</t>
  </si>
  <si>
    <t>TON</t>
  </si>
  <si>
    <t>TimeoutOUT</t>
  </si>
  <si>
    <t>Timeout delay has timed out</t>
  </si>
  <si>
    <t>TimeoutEN</t>
  </si>
  <si>
    <t>Enable timeout for this TrackBit</t>
  </si>
  <si>
    <t>Timeout Acknowledge</t>
  </si>
  <si>
    <t>TimeoutACK</t>
  </si>
  <si>
    <t>Active</t>
  </si>
  <si>
    <t>Track Bit is currently Active</t>
  </si>
  <si>
    <t>EndIN</t>
  </si>
  <si>
    <t>End of Tracking Bit Condition</t>
  </si>
  <si>
    <t>INITBlock</t>
  </si>
  <si>
    <t>Use to block processing of End Condition for 2 scans</t>
  </si>
  <si>
    <t>EndCondition</t>
  </si>
  <si>
    <t>End Condition type, EDGEPOS, EDGENEG, NO, NC.</t>
  </si>
  <si>
    <t>TrackingSection Function Block</t>
  </si>
  <si>
    <t>Busy</t>
  </si>
  <si>
    <t>Blocked</t>
  </si>
  <si>
    <t>Tracking section is currently Busy</t>
  </si>
  <si>
    <t>Block conditions for following section is active</t>
  </si>
  <si>
    <t>Blocks</t>
  </si>
  <si>
    <t>ARRAY[0..12]OF BOOL</t>
  </si>
  <si>
    <t>Block conditions of Following section</t>
  </si>
  <si>
    <t>Blocks[0]</t>
  </si>
  <si>
    <t>Blocks[1]</t>
  </si>
  <si>
    <t>Blocks[2]</t>
  </si>
  <si>
    <t>Blocks[3]</t>
  </si>
  <si>
    <t>Blocks[4]</t>
  </si>
  <si>
    <t>Blocks[5]</t>
  </si>
  <si>
    <t>Blocks[6]</t>
  </si>
  <si>
    <t>Blocks[7]</t>
  </si>
  <si>
    <t>Blocks[8]</t>
  </si>
  <si>
    <t>Blocks[9]</t>
  </si>
  <si>
    <t>Blocks[10]</t>
  </si>
  <si>
    <t>Blocks[11]</t>
  </si>
  <si>
    <t>Blocks[12]</t>
  </si>
  <si>
    <t>Clear</t>
  </si>
  <si>
    <t>Control to be selected for clearing during Estop Recovery</t>
  </si>
  <si>
    <t>ResES</t>
  </si>
  <si>
    <t>Reset Index during Estop recovery</t>
  </si>
  <si>
    <t>ResMan</t>
  </si>
  <si>
    <t>Reset Index from Mimic screen with greater than OPERATOR level</t>
  </si>
  <si>
    <t>BusyDisp</t>
  </si>
  <si>
    <t>Visualisation control for Mimic screen</t>
  </si>
  <si>
    <t>CurrentTime</t>
  </si>
  <si>
    <t>PreviousTime</t>
  </si>
  <si>
    <t>ElapsedTime</t>
  </si>
  <si>
    <t>TIME</t>
  </si>
  <si>
    <t>Current captured time</t>
  </si>
  <si>
    <t>Previous captured time</t>
  </si>
  <si>
    <t>Elapsed/Cycle time</t>
  </si>
  <si>
    <t>Longest</t>
  </si>
  <si>
    <t>RowBlock</t>
  </si>
  <si>
    <t>Change</t>
  </si>
  <si>
    <t>ArrissUpper</t>
  </si>
  <si>
    <t>ArrissLower</t>
  </si>
  <si>
    <t>EdgeDelete</t>
  </si>
  <si>
    <t>VerticalBelt</t>
  </si>
  <si>
    <t>BlockInhib</t>
  </si>
  <si>
    <t>Override Block conditions, e.g. for early restart.</t>
  </si>
  <si>
    <t>Index for TrackBits CASE statement</t>
  </si>
  <si>
    <t>IndexIN</t>
  </si>
  <si>
    <t>New Index Value</t>
  </si>
  <si>
    <t>WidthIN</t>
  </si>
  <si>
    <t>LengthIN</t>
  </si>
  <si>
    <t>LongestIN</t>
  </si>
  <si>
    <t>RowBlockIN</t>
  </si>
  <si>
    <t>ChangeIN</t>
  </si>
  <si>
    <t>ArrissUpperIN</t>
  </si>
  <si>
    <t>ArrissLowerIN</t>
  </si>
  <si>
    <t>EdgeDeleteIN</t>
  </si>
  <si>
    <t>VerticalBeltIN</t>
  </si>
  <si>
    <t>Tracking**.Busy</t>
  </si>
  <si>
    <t>Track***.Active</t>
  </si>
  <si>
    <t>Inverter Fault 1</t>
  </si>
  <si>
    <t>Inverter Fault 2</t>
  </si>
  <si>
    <t>Control.ESClear</t>
  </si>
  <si>
    <t>NOT(Control.Achieved)</t>
  </si>
  <si>
    <t>Cycle</t>
  </si>
  <si>
    <t>Control Circuit ON</t>
  </si>
  <si>
    <t>Control.Achieved</t>
  </si>
  <si>
    <t>TimeoutACKLatch</t>
  </si>
  <si>
    <t>Latch on TimeoutACK while TrackBit active</t>
  </si>
  <si>
    <t>FixedIN.Control</t>
  </si>
  <si>
    <t>FixedIN.ESClearing</t>
  </si>
  <si>
    <t>ControlIN</t>
  </si>
  <si>
    <t>Data Tracking</t>
  </si>
  <si>
    <t>Process Tracking</t>
  </si>
  <si>
    <t>Display_enum</t>
  </si>
  <si>
    <t>Calculated cycle time</t>
  </si>
  <si>
    <t>FixedOUT.Control</t>
  </si>
  <si>
    <t>To FixedIN.Control for each TrackBit</t>
  </si>
  <si>
    <t>FixedOUT.ESClearing</t>
  </si>
  <si>
    <t>To FixedIN.ESClearing for each TrackBit</t>
  </si>
  <si>
    <t>i</t>
  </si>
  <si>
    <t>Index for Blocks[0..12]</t>
  </si>
  <si>
    <t>DelayTON</t>
  </si>
  <si>
    <t>Time Delay used either for Timeout or Track bit delay</t>
  </si>
  <si>
    <t>TrackDelayEN</t>
  </si>
  <si>
    <t>Enable Delay for this TrackBit, where end condition is delay done.</t>
  </si>
  <si>
    <t>DelayPT</t>
  </si>
  <si>
    <t>Delay for CC3 Slow</t>
  </si>
  <si>
    <t>Delay for CC1 Slow</t>
  </si>
  <si>
    <t>NOT Tracking00.Blocked</t>
  </si>
  <si>
    <t>NOT Tracking11.Blocked</t>
  </si>
  <si>
    <t>Timeout #</t>
  </si>
  <si>
    <t>Timeout Type</t>
  </si>
  <si>
    <t>INV</t>
  </si>
  <si>
    <t>Start Condition</t>
  </si>
  <si>
    <t>End Condition</t>
  </si>
  <si>
    <t>SpeedMatchEN</t>
  </si>
  <si>
    <t>SpeedMatch</t>
  </si>
  <si>
    <t>Speed Match Enable, speed has to match speed of another conveyor</t>
  </si>
  <si>
    <t>Speed Match reference</t>
  </si>
  <si>
    <t>TRACK SIZE DATA - IMPLEMENT IN PROGRAM GENERATION</t>
  </si>
  <si>
    <t>BOOL CONDIITON</t>
  </si>
  <si>
    <t>BOOL CONDITION</t>
  </si>
  <si>
    <t>ControlFB</t>
  </si>
  <si>
    <t>Seaming</t>
  </si>
  <si>
    <t>Start</t>
  </si>
  <si>
    <t>Stop</t>
  </si>
  <si>
    <t>EStop1</t>
  </si>
  <si>
    <t>EStop2</t>
  </si>
  <si>
    <t>BuzzBlock</t>
  </si>
  <si>
    <t>StandbyBlock</t>
  </si>
  <si>
    <t>Test</t>
  </si>
  <si>
    <t>ESClear</t>
  </si>
  <si>
    <t>Paused</t>
  </si>
  <si>
    <t>Alarm</t>
  </si>
  <si>
    <t>CountIN</t>
  </si>
  <si>
    <t>ARRAY[0..19] OF BOOL</t>
  </si>
  <si>
    <t>BuzzerPT</t>
  </si>
  <si>
    <t>StandbyPT</t>
  </si>
  <si>
    <t>Warning</t>
  </si>
  <si>
    <t>Achieved1</t>
  </si>
  <si>
    <t>Achieved2</t>
  </si>
  <si>
    <t>Buzzer</t>
  </si>
  <si>
    <t>Empty</t>
  </si>
  <si>
    <t>OnLmp1</t>
  </si>
  <si>
    <t>OnLmp2</t>
  </si>
  <si>
    <t>GrnLmp</t>
  </si>
  <si>
    <t>YelLmp</t>
  </si>
  <si>
    <t>RedLmp</t>
  </si>
  <si>
    <t>BuzzerTON</t>
  </si>
  <si>
    <t>StandbyTON</t>
  </si>
  <si>
    <t>Grn</t>
  </si>
  <si>
    <t>ARRAY[0..2] OF BOOL</t>
  </si>
  <si>
    <t>Yel</t>
  </si>
  <si>
    <t>Red</t>
  </si>
  <si>
    <t>TSecOff</t>
  </si>
  <si>
    <t>TSecOn</t>
  </si>
  <si>
    <t>TSecOFF</t>
  </si>
  <si>
    <t>TSecON</t>
  </si>
  <si>
    <t>StopLatch</t>
  </si>
  <si>
    <t>StopDone</t>
  </si>
  <si>
    <t>EStopStartTON</t>
  </si>
  <si>
    <t>S16 OVERRIDE FOR CENTERING - ADD END CONDITION?</t>
  </si>
  <si>
    <t>NEW CHECKLIST</t>
  </si>
  <si>
    <t>POWERLINK HARDWARE</t>
  </si>
  <si>
    <t>POWERLINK CONFIGURATION</t>
  </si>
  <si>
    <t>POWERLINK MAPPING</t>
  </si>
  <si>
    <t>SCREEN</t>
  </si>
  <si>
    <t>BUS CONTROLLER</t>
  </si>
  <si>
    <t>INVERTERS</t>
  </si>
  <si>
    <t>SENSORS PROGRAM</t>
  </si>
  <si>
    <t>CHECK ALL SENSORS INCLUDED</t>
  </si>
  <si>
    <t>MEASURING SENSORS MUST HAVE SAME SPEEDON AS SPEEDOFF</t>
  </si>
  <si>
    <t>ENABLE OVERRIDES - HMI</t>
  </si>
  <si>
    <t>CHECK ALL SPEEDS CORRECT - USE ***.Inv.Scale1.x WHEN ANALOG USED - CHECK THAT THIS VALUE IS NOT ZEROED AT SENSORS PROGRAM!!</t>
  </si>
  <si>
    <t>INVERTERS - CONFIGURE RELAY OUTPUTS IF BLOWER USED</t>
  </si>
  <si>
    <t>IO PROGRAM</t>
  </si>
  <si>
    <t>CHECK ALL IO ALLOCATIONS CORRECT</t>
  </si>
  <si>
    <t>DOUBLE CHECK ALL IO ALLOCATIONS CORRECT</t>
  </si>
  <si>
    <t>TRIPLE CHECK ALL IO ALLOCATIONS CORRECT</t>
  </si>
  <si>
    <t>CREATE SIMULATION DATA TYPE</t>
  </si>
  <si>
    <t>SET OUTPUTS, E.G. SOL35LASER, ETC…..</t>
  </si>
  <si>
    <t>DoneIN</t>
  </si>
  <si>
    <t>Early End of Tracking Bit Condition</t>
  </si>
  <si>
    <t>PAUSE PROGRAMMING</t>
  </si>
  <si>
    <t>VISCONTROL PACKAGE - ADD Config.VersionText AND ROW/LOAD LIMITS (See LineConfig)</t>
  </si>
  <si>
    <t>EPLCOMMS PROGRAM</t>
  </si>
  <si>
    <t>RESET INVERTER PROGRAM</t>
  </si>
  <si>
    <t>CHECK ALL USED INVERTERS ARE ADDED</t>
  </si>
  <si>
    <t>ADD ANALOG SCALING IF REQUIRED</t>
  </si>
  <si>
    <t xml:space="preserve">//RESET ALL .Inv.SCALE1.x FOR DISPLAY PURPOSES. AT END OF PROGRAM
</t>
  </si>
  <si>
    <t>INVERTER COMMS PROGRAM</t>
  </si>
  <si>
    <t>CHECK ALL USED INVERTERS ARE ADDED TO INIT PROGRAM</t>
  </si>
  <si>
    <t>CHECK ALL USED INVERTERS ARE ADDED FOR ACCEL/DECEL LIMITS</t>
  </si>
  <si>
    <t>OUTPUTS PROGRAM</t>
  </si>
  <si>
    <t>CHECK ALL USED INVERTERS ARE ADDED FOR LEG TEST</t>
  </si>
  <si>
    <t>CHECK CORRECT INVERTERS ARE SET FOR EACH LEG</t>
  </si>
  <si>
    <t xml:space="preserve">IF ANALOGS USED, CHECK THAT CORRECT REFERENCE USED FOR ANALOG TEST SPEED. E.G. CWE.SpeedAnalog
</t>
  </si>
  <si>
    <t>INVERTER RESET PROGRAM</t>
  </si>
  <si>
    <t>S17Photo.In</t>
  </si>
  <si>
    <t>S18Photo.In</t>
  </si>
  <si>
    <t>CB1</t>
  </si>
  <si>
    <t>CB2</t>
  </si>
  <si>
    <t>CR1</t>
  </si>
  <si>
    <t>1M</t>
  </si>
  <si>
    <t>6.5M</t>
  </si>
  <si>
    <t>BatchAtExit</t>
  </si>
  <si>
    <t>S19Photo.In</t>
  </si>
  <si>
    <t>Dry Dust Extraction First Try</t>
  </si>
  <si>
    <t>SCHEMATICS - ADD MAINS ON LAMP (DC) TO MANUAL BATCHING DRAWINGS.</t>
  </si>
  <si>
    <t>Tracking00</t>
  </si>
  <si>
    <t>X</t>
  </si>
  <si>
    <t>LOADING CONVEYOR</t>
  </si>
  <si>
    <t>Track001</t>
  </si>
  <si>
    <t>Track002</t>
  </si>
  <si>
    <t>Track003</t>
  </si>
  <si>
    <t>Track004</t>
  </si>
  <si>
    <t>Track005</t>
  </si>
  <si>
    <t>Tracking01</t>
  </si>
  <si>
    <t>Track011</t>
  </si>
  <si>
    <t>Track012</t>
  </si>
  <si>
    <t>Tracking10</t>
  </si>
  <si>
    <t>SEAMING CONVEYOR 1</t>
  </si>
  <si>
    <t>Track101</t>
  </si>
  <si>
    <t>Track103</t>
  </si>
  <si>
    <t>Track104</t>
  </si>
  <si>
    <t>Track105</t>
  </si>
  <si>
    <t>Track105.DelayTON.Q</t>
  </si>
  <si>
    <t>CORNER CONVEYOR 1</t>
  </si>
  <si>
    <t>Track111</t>
  </si>
  <si>
    <t>Track112</t>
  </si>
  <si>
    <t>Tracking20</t>
  </si>
  <si>
    <t>SEAMING CONVEYOR 2</t>
  </si>
  <si>
    <t>Track201</t>
  </si>
  <si>
    <t>Track202</t>
  </si>
  <si>
    <t>Track203</t>
  </si>
  <si>
    <t>Track204</t>
  </si>
  <si>
    <t>Track205</t>
  </si>
  <si>
    <t>Track205.DelayTON.Q</t>
  </si>
  <si>
    <t>Track206</t>
  </si>
  <si>
    <t>Track206.DelayTON.Q</t>
  </si>
  <si>
    <t>CC3(R)</t>
  </si>
  <si>
    <t>Tracking30</t>
  </si>
  <si>
    <t>Track301</t>
  </si>
  <si>
    <t>Track302</t>
  </si>
  <si>
    <t>Tracking40</t>
  </si>
  <si>
    <t>Track401</t>
  </si>
  <si>
    <t>Track402</t>
  </si>
  <si>
    <t>BUFFER CONVEYOR 2</t>
  </si>
  <si>
    <t>End of Conveyor RunOn</t>
  </si>
  <si>
    <t>Roller Conveyor</t>
  </si>
  <si>
    <t>Belt Conveyor</t>
  </si>
  <si>
    <t>Roller Conveyor w/Blower</t>
  </si>
  <si>
    <t>SM Pro Seamer Conveyor</t>
  </si>
  <si>
    <t>INV2</t>
  </si>
  <si>
    <t>INV7</t>
  </si>
  <si>
    <t>INV10</t>
  </si>
  <si>
    <t>INV11</t>
  </si>
  <si>
    <t>INV14</t>
  </si>
  <si>
    <t>RUNTIME COMPLETION FOR ACCEL AND DECEL PARAMETERS</t>
  </si>
  <si>
    <t>RUMTIME COMPLETION CONTROLS FOR ACCEL/DECEL INVERTER PARAMETERS</t>
  </si>
  <si>
    <t>Control.Start</t>
  </si>
  <si>
    <t>Control.EStop1</t>
  </si>
  <si>
    <t>Control.OnLmp1</t>
  </si>
  <si>
    <t>Tracking20.Busy</t>
  </si>
  <si>
    <t>Help1_1</t>
  </si>
  <si>
    <t>Help1_1Block</t>
  </si>
  <si>
    <t>Help2_1</t>
  </si>
  <si>
    <t>Help2_1Block</t>
  </si>
  <si>
    <t>Tracking30.Busy</t>
  </si>
  <si>
    <t>Help3_1</t>
  </si>
  <si>
    <t>Help3_2</t>
  </si>
  <si>
    <t>Help3_1Block</t>
  </si>
  <si>
    <t>Tracking40.Busy</t>
  </si>
  <si>
    <t>Help4_1</t>
  </si>
  <si>
    <t>Help5_1</t>
  </si>
  <si>
    <t>Track005.Active</t>
  </si>
  <si>
    <t>Help5_1Block</t>
  </si>
  <si>
    <t>Help5_2</t>
  </si>
  <si>
    <t>Help6_1</t>
  </si>
  <si>
    <t>Help6_1Block</t>
  </si>
  <si>
    <t>Tracking10.Busy</t>
  </si>
  <si>
    <t>Help7_1</t>
  </si>
  <si>
    <t>Tracking11.Busy</t>
  </si>
  <si>
    <t>Help7_1Block</t>
  </si>
  <si>
    <t>CORNER CONVEYOR 1 RUN ON</t>
  </si>
  <si>
    <t>CORNER CONVEYOR 2 RUN ON</t>
  </si>
  <si>
    <t>Delay for CC3 Rev</t>
  </si>
  <si>
    <t>Help5_3Block</t>
  </si>
  <si>
    <t>CC5 &gt;</t>
  </si>
  <si>
    <t>CB1 &gt;</t>
  </si>
  <si>
    <t>CS1 &gt;</t>
  </si>
  <si>
    <t>CC1 &gt;</t>
  </si>
  <si>
    <t>CC2 &gt;</t>
  </si>
  <si>
    <t>CS2 &gt;</t>
  </si>
  <si>
    <t>CC3 &gt;</t>
  </si>
  <si>
    <t>CC4 &gt;</t>
  </si>
  <si>
    <t>CS3 &gt;</t>
  </si>
  <si>
    <t>CC6 &gt;</t>
  </si>
  <si>
    <t>CS4 &gt;</t>
  </si>
  <si>
    <t>CR1 &gt;</t>
  </si>
  <si>
    <t>.Input</t>
  </si>
  <si>
    <t>.Module</t>
  </si>
  <si>
    <t>.Output</t>
  </si>
  <si>
    <t>Ax1.SeekFin</t>
  </si>
  <si>
    <t>Motion</t>
  </si>
  <si>
    <t>NOT Tracking01.Blocked</t>
  </si>
  <si>
    <t>LaserBusy.In</t>
  </si>
  <si>
    <t>LOADING RUN ON</t>
  </si>
  <si>
    <t>Tracking50</t>
  </si>
  <si>
    <t>Track501</t>
  </si>
  <si>
    <t>Track502</t>
  </si>
  <si>
    <t>Use Track011 as Block if laser selected</t>
  </si>
  <si>
    <t>Use Track004 as Block if laser selected</t>
  </si>
  <si>
    <t>Track106</t>
  </si>
  <si>
    <t>Delay for CC1 Rev</t>
  </si>
  <si>
    <t>CC1(R)</t>
  </si>
  <si>
    <t>NOT Tracking10.Blocked</t>
  </si>
  <si>
    <t>Track113</t>
  </si>
  <si>
    <t>Ax2.SeekFin</t>
  </si>
  <si>
    <t>Track114</t>
  </si>
  <si>
    <t>NOT S9Photo.Int</t>
  </si>
  <si>
    <t>Can be set to 0.001 if not required</t>
  </si>
  <si>
    <t>Track207</t>
  </si>
  <si>
    <t>Track208</t>
  </si>
  <si>
    <t>NOT Tracking20.Blocked</t>
  </si>
  <si>
    <t>Track521.DelayTON.Q</t>
  </si>
  <si>
    <t>Delay for CS2 Restart</t>
  </si>
  <si>
    <t>If Track522.DoneIN before Track521.Done then go to Track523</t>
  </si>
  <si>
    <t>BUFFER CONVEYOR 1</t>
  </si>
  <si>
    <t>Check if size will fit in next Tracking Section (Tracking30)</t>
  </si>
  <si>
    <t>NOT Tracking30.Blocked</t>
  </si>
  <si>
    <t>BUFFER CONVEYOR 1 RUN ON</t>
  </si>
  <si>
    <t>ROW BUILDING</t>
  </si>
  <si>
    <t>S16Photo.Int</t>
  </si>
  <si>
    <t>Delay for CRB Start</t>
  </si>
  <si>
    <t>S17Photo.Int</t>
  </si>
  <si>
    <t>CRB</t>
  </si>
  <si>
    <t>CRB(REV)</t>
  </si>
  <si>
    <t>RowTemp.Done</t>
  </si>
  <si>
    <t>Delay for Centering</t>
  </si>
  <si>
    <t>Track503</t>
  </si>
  <si>
    <t>Track504</t>
  </si>
  <si>
    <t>CRE</t>
  </si>
  <si>
    <t>Track505</t>
  </si>
  <si>
    <t>Delay for CLB Start</t>
  </si>
  <si>
    <t>Track506</t>
  </si>
  <si>
    <t>CLB</t>
  </si>
  <si>
    <t>Track507</t>
  </si>
  <si>
    <t>Track507.DelayTON.Q(Stop)</t>
  </si>
  <si>
    <t>Delay for CLB Slow</t>
  </si>
  <si>
    <t>Track502.DelayTON.Q</t>
  </si>
  <si>
    <t>S19Photo.Int</t>
  </si>
  <si>
    <t>Track505.DelayTON.Q</t>
  </si>
  <si>
    <t>Track507.DelayTON.Q</t>
  </si>
  <si>
    <t>Tracking60</t>
  </si>
  <si>
    <t>LOAD BUILDING</t>
  </si>
  <si>
    <t>Track601</t>
  </si>
  <si>
    <t>LoadTemp.Done</t>
  </si>
  <si>
    <t>Track602</t>
  </si>
  <si>
    <t>Tracking70</t>
  </si>
  <si>
    <t>Track701</t>
  </si>
  <si>
    <t>S21Photo.Int</t>
  </si>
  <si>
    <t>Track603</t>
  </si>
  <si>
    <t>NOT(Tracking60.Blocked)</t>
  </si>
  <si>
    <t>Track701.DelayTON.Q</t>
  </si>
  <si>
    <t>Delay for CLB Clear</t>
  </si>
  <si>
    <t>MS13Water1.Trip</t>
  </si>
  <si>
    <t>MS14Water2.Trip</t>
  </si>
  <si>
    <t>Motor Starter 13 - Water Tank 1 Pump Trip</t>
  </si>
  <si>
    <t>Motor Starter 14 - Water Tank 2 Pump Trip</t>
  </si>
  <si>
    <t>MS13Water1</t>
  </si>
  <si>
    <t>MS14Water2</t>
  </si>
  <si>
    <t>Motor Starter 14 - Water Tank 2 Pump</t>
  </si>
  <si>
    <t>Motor Starter 13 - Water Tank 1 Pump</t>
  </si>
  <si>
    <t>Filstar output</t>
  </si>
  <si>
    <t>CV1</t>
  </si>
  <si>
    <t>CV2</t>
  </si>
  <si>
    <t>CL1 Slow Photoelectric Switch</t>
  </si>
  <si>
    <t>CL1 End Photelectric switch</t>
  </si>
  <si>
    <t>S56Lever.In</t>
  </si>
  <si>
    <t>Laser Enable Lever Selector</t>
  </si>
  <si>
    <t>Sol5Arm1</t>
  </si>
  <si>
    <t xml:space="preserve">Solenoid Valve 5 Flip Up Arm 1 </t>
  </si>
  <si>
    <t>Sol6Arm2</t>
  </si>
  <si>
    <t xml:space="preserve">Solenoid Valve 6 Flip Up Arm 2 </t>
  </si>
  <si>
    <t>LaserFire</t>
  </si>
  <si>
    <t>LaserBusy</t>
  </si>
  <si>
    <t>Laser Busy Input</t>
  </si>
  <si>
    <t>Laser Fire Output</t>
  </si>
  <si>
    <t>Servo1POT</t>
  </si>
  <si>
    <t>Servo 1 Positive Over Travel Limit Switch</t>
  </si>
  <si>
    <t>Servo1NOT</t>
  </si>
  <si>
    <t>Servo 1 Negative Over Travel Limit Switch</t>
  </si>
  <si>
    <t>S80Origin.In</t>
  </si>
  <si>
    <t>Servo 1 Origin Photoelectric Switch</t>
  </si>
  <si>
    <t>S100Reed.In</t>
  </si>
  <si>
    <t>Flip Up Arm 1/1 Down Reed Switch</t>
  </si>
  <si>
    <t>S101Reed.In</t>
  </si>
  <si>
    <t>Flip Up Arm 1/1 Up Reed Switch</t>
  </si>
  <si>
    <t>S102Reed.In</t>
  </si>
  <si>
    <t>Flip Up Arm 1/2 Down Reed Switch</t>
  </si>
  <si>
    <t>S103Reed.In</t>
  </si>
  <si>
    <t>Flip Up Arm 1/2 Up Reed Switch</t>
  </si>
  <si>
    <t>S104Reed.In</t>
  </si>
  <si>
    <t>Flip Up Arm 2/1 Down Reed Switch</t>
  </si>
  <si>
    <t>S105Reed.In</t>
  </si>
  <si>
    <t>Flip Up Arm 2/1 Up Reed Switch</t>
  </si>
  <si>
    <t>S106Reed.In</t>
  </si>
  <si>
    <t>Flip Up Arm 2/2 Down Reed Switch</t>
  </si>
  <si>
    <t>S107Reed.In</t>
  </si>
  <si>
    <t>Flip Up Arm 2/2 Up Reed Switch</t>
  </si>
  <si>
    <t>S81Photo.In</t>
  </si>
  <si>
    <t>Servo 1 Rev Photoelectric Switch</t>
  </si>
  <si>
    <t>S82Photo.In</t>
  </si>
  <si>
    <t>Servo 1 Centre 1 Photoelectric Switch</t>
  </si>
  <si>
    <t>S83Photo.In</t>
  </si>
  <si>
    <t>Servo 1 Centre 2 Photoelectric Switch</t>
  </si>
  <si>
    <t>S84Photo.In</t>
  </si>
  <si>
    <t>Servo 1 Fwd Photoelectric Switch</t>
  </si>
  <si>
    <t>CS1 Process Photoelectric Switch</t>
  </si>
  <si>
    <t>S91Photo.In</t>
  </si>
  <si>
    <t>Servo 2 Rev Photoelectric Switch</t>
  </si>
  <si>
    <t>ST14</t>
  </si>
  <si>
    <t>S92Photo.In</t>
  </si>
  <si>
    <t>Servo 2 Centre 1 Photoelectric Switch</t>
  </si>
  <si>
    <t>&gt;CBL25</t>
  </si>
  <si>
    <t>S93Photo.In</t>
  </si>
  <si>
    <t>Servo 2 Centre 2 Photoelectric Switch</t>
  </si>
  <si>
    <t>&gt;CBL45</t>
  </si>
  <si>
    <t>S94Photo.In</t>
  </si>
  <si>
    <t>Servo 2 Fwd Photoelectric Switch</t>
  </si>
  <si>
    <t>Sol40Datum</t>
  </si>
  <si>
    <t xml:space="preserve">Solenoid Valve 40 Flip Down Datum Bar </t>
  </si>
  <si>
    <t>S52Reed.In</t>
  </si>
  <si>
    <t xml:space="preserve">Flip Down Datum Up Reed Switch  </t>
  </si>
  <si>
    <t>S53Reed.In</t>
  </si>
  <si>
    <t xml:space="preserve">Flip Down Datum Down Reed Switch  </t>
  </si>
  <si>
    <t>ST15</t>
  </si>
  <si>
    <t>&gt;CBL26</t>
  </si>
  <si>
    <t>Sol14Arm6</t>
  </si>
  <si>
    <t xml:space="preserve">Solenoid Valve 14 Flip Up Arm 6 </t>
  </si>
  <si>
    <t>&gt;CBL46</t>
  </si>
  <si>
    <t>Sol15Arm7</t>
  </si>
  <si>
    <t xml:space="preserve">Solenoid Valve 15 Flip Up Arm 7 </t>
  </si>
  <si>
    <t>CC1 Clear Photoelectric Switch</t>
  </si>
  <si>
    <t>CC2 Slow Photoelectric Switch</t>
  </si>
  <si>
    <t>CC2 End Photoelectric Switch</t>
  </si>
  <si>
    <t>Servo2POT</t>
  </si>
  <si>
    <t>Servo 2 Positive Over Travel Limit Switch</t>
  </si>
  <si>
    <t>ST16</t>
  </si>
  <si>
    <t>Servo2NOT</t>
  </si>
  <si>
    <t>Servo 2 Negative Over Travel Limit Switch</t>
  </si>
  <si>
    <t>&gt;CBL27</t>
  </si>
  <si>
    <t>S90Origin.In</t>
  </si>
  <si>
    <t>Servo 2 Origin Photoelectric Switch</t>
  </si>
  <si>
    <t>&gt;CBL47</t>
  </si>
  <si>
    <t>RI</t>
  </si>
  <si>
    <t>S120Reed.In</t>
  </si>
  <si>
    <t>Flip Up Arm 6/1 Down Reed Switch</t>
  </si>
  <si>
    <t>S121Reed.In</t>
  </si>
  <si>
    <t>Flip Up Arm 6/1 Up Reed Switch</t>
  </si>
  <si>
    <t>S122Reed.In</t>
  </si>
  <si>
    <t>Flip Up Arm 6/2 Down Reed Switch</t>
  </si>
  <si>
    <t>S123Reed.In</t>
  </si>
  <si>
    <t>Flip Up Arm 6/2 Up Reed Switch</t>
  </si>
  <si>
    <t>S124Reed.In</t>
  </si>
  <si>
    <t>Flip Up Arm 7/1 Down Reed Switch</t>
  </si>
  <si>
    <t>S125Reed.In</t>
  </si>
  <si>
    <t>Flip Up Arm 7/1 Up Reed Switch</t>
  </si>
  <si>
    <t>S126Reed.In</t>
  </si>
  <si>
    <t>Flip Up Arm 7/2 Down Reed Switch</t>
  </si>
  <si>
    <t>S127Reed.In</t>
  </si>
  <si>
    <t>Flip Up Arm 7/2 Up Reed Switch</t>
  </si>
  <si>
    <t>ST17</t>
  </si>
  <si>
    <t>CRB Stop Photoelectric Switch</t>
  </si>
  <si>
    <t>&gt;CBL28</t>
  </si>
  <si>
    <t>&gt;CBL48</t>
  </si>
  <si>
    <t>CLB Stop Photoelectric Switch</t>
  </si>
  <si>
    <t>CLB End Photoelectric Switch</t>
  </si>
  <si>
    <t>S55Lever.In</t>
  </si>
  <si>
    <t xml:space="preserve">Line Pause Lever Selector </t>
  </si>
  <si>
    <t>B60JB</t>
  </si>
  <si>
    <t>S57Lever.In</t>
  </si>
  <si>
    <t>Offline Loading Lever Selector</t>
  </si>
  <si>
    <t>WashRun.In</t>
  </si>
  <si>
    <t xml:space="preserve">Washer Running  </t>
  </si>
  <si>
    <t>FurnReady.In</t>
  </si>
  <si>
    <t>Furnace Load Clear Input</t>
  </si>
  <si>
    <t>WashStop.Auto</t>
  </si>
  <si>
    <t>Stop Washer Output</t>
  </si>
  <si>
    <t>Batch At Exit Output</t>
  </si>
  <si>
    <t>&gt;CBL29</t>
  </si>
  <si>
    <t>&gt;CBL49</t>
  </si>
  <si>
    <t>Sol35Laser</t>
  </si>
  <si>
    <t>Sol19Pump</t>
  </si>
  <si>
    <t>Sol7Arm3</t>
  </si>
  <si>
    <t>Sol8Arm4</t>
  </si>
  <si>
    <t xml:space="preserve">Solenoid Valve 7 Flip Up Arm 3 </t>
  </si>
  <si>
    <t>Solenoid Valve 8 Flip Up Arm 4</t>
  </si>
  <si>
    <t>ENTRY</t>
  </si>
  <si>
    <t>EXIT</t>
  </si>
  <si>
    <t>S100/S120</t>
  </si>
  <si>
    <t>S101/S121</t>
  </si>
  <si>
    <t>S102/S122</t>
  </si>
  <si>
    <t>S103/S123</t>
  </si>
  <si>
    <t>S104/S124</t>
  </si>
  <si>
    <t>S105/S125</t>
  </si>
  <si>
    <t>S106/S126</t>
  </si>
  <si>
    <t>S107/S127</t>
  </si>
  <si>
    <t>S108/S128</t>
  </si>
  <si>
    <t>S109/S129</t>
  </si>
  <si>
    <t>S110/S130</t>
  </si>
  <si>
    <t>S111/S131</t>
  </si>
  <si>
    <t>S112/S132</t>
  </si>
  <si>
    <t>S113/S133</t>
  </si>
  <si>
    <t>S114/S134</t>
  </si>
  <si>
    <t>S115/S135</t>
  </si>
  <si>
    <t>4M</t>
  </si>
  <si>
    <t>S116/S136</t>
  </si>
  <si>
    <t>S117/S137</t>
  </si>
  <si>
    <t>S118/S138</t>
  </si>
  <si>
    <t>S119/S139</t>
  </si>
  <si>
    <t>4M = 7000-88001-2100400 XEC0NEW £6.84</t>
  </si>
  <si>
    <t>S108Reed.In</t>
  </si>
  <si>
    <t>S109Reed.In</t>
  </si>
  <si>
    <t>S110Reed.In</t>
  </si>
  <si>
    <t>S111Reed.In</t>
  </si>
  <si>
    <t>S112Reed.In</t>
  </si>
  <si>
    <t>S113Reed.In</t>
  </si>
  <si>
    <t>S114Reed.In</t>
  </si>
  <si>
    <t>Flip Up Arm 4/2 Down Reed Switch</t>
  </si>
  <si>
    <t>Flip Up Arm 4/1 Up Reed Switch</t>
  </si>
  <si>
    <t>Flip Up Arm 4/1 Down Reed Switch</t>
  </si>
  <si>
    <t>Flip Up Arm 3/2 Up Reed Switch</t>
  </si>
  <si>
    <t>Flip Up Arm 3/2 Down Reed Switch</t>
  </si>
  <si>
    <t>Flip Up Arm 3/1 Up Reed Switch</t>
  </si>
  <si>
    <t>Flip Up Arm 3/1 Down Reed Switch</t>
  </si>
  <si>
    <t>S115Reed.In</t>
  </si>
  <si>
    <t>Flip Up Arm 4/2 Up Reed Switch</t>
  </si>
  <si>
    <t>S20Photo.In</t>
  </si>
  <si>
    <t>S21Photo.In</t>
  </si>
  <si>
    <t>ST18</t>
  </si>
  <si>
    <t>CLB Start Photoelectric Switch</t>
  </si>
  <si>
    <t>S19 Emitter DC supply</t>
  </si>
  <si>
    <t>S20 Emitter DC Supply</t>
  </si>
  <si>
    <t>S21 Emitter DC Supply</t>
  </si>
  <si>
    <t>CB1 Slow Photoelectric Switch</t>
  </si>
  <si>
    <t>CB1 Stop Photoelectric Switch</t>
  </si>
  <si>
    <t>CRB Start Photoelectric Switch</t>
  </si>
  <si>
    <t>CRB Limit Photoelectric Switch</t>
  </si>
  <si>
    <t>CC3 Stop Photoelectric Switch</t>
  </si>
  <si>
    <t>CC4 Clear Photelectric Switch</t>
  </si>
  <si>
    <t>Water Tank 1 Float Switch</t>
  </si>
  <si>
    <t>Water Tank 2 Float Switch</t>
  </si>
  <si>
    <t>CS1 Clear Photoelectric Switch</t>
  </si>
  <si>
    <t>CL1 Restart Photoelectric Switch</t>
  </si>
  <si>
    <t>Datum Gate 1 Down Reed Switch</t>
  </si>
  <si>
    <t>Solenoid Valve 31 Pallet 2</t>
  </si>
  <si>
    <t>Solenoid Valve 35 Laser Air Knife</t>
  </si>
  <si>
    <t>Solenoid Valve 19 Scavenge Pumps</t>
  </si>
  <si>
    <t>B50JB</t>
  </si>
  <si>
    <t>S64Float.In</t>
  </si>
  <si>
    <t>S65Float.In</t>
  </si>
  <si>
    <t>Track011.DelayTON.Q</t>
  </si>
  <si>
    <t>Delay for Laser Positioning</t>
  </si>
  <si>
    <t>Track013</t>
  </si>
  <si>
    <t>IF CV2.o.Rev[i] = TRUE THEN    CV2.Output.CMDD_03 :=  TRUE   ;</t>
  </si>
  <si>
    <t>Sol24DG1B</t>
  </si>
  <si>
    <t>Solenoid Valve 24 Datum Gate 1 B</t>
  </si>
  <si>
    <t>Tracking41</t>
  </si>
  <si>
    <t>NOT Tracking40.Blocked</t>
  </si>
  <si>
    <t>Tracking90</t>
  </si>
  <si>
    <t>Track901</t>
  </si>
  <si>
    <t>Tracking91</t>
  </si>
  <si>
    <t>Track911</t>
  </si>
  <si>
    <t>Track912</t>
  </si>
  <si>
    <t>Track913</t>
  </si>
  <si>
    <t>Tracking92</t>
  </si>
  <si>
    <t>Track921</t>
  </si>
  <si>
    <t>Track922</t>
  </si>
  <si>
    <t>Tracking93</t>
  </si>
  <si>
    <t>Track931</t>
  </si>
  <si>
    <t>Track932</t>
  </si>
  <si>
    <t>Tracking80</t>
  </si>
  <si>
    <t>Tracking81</t>
  </si>
  <si>
    <t>Track921.DelayTON.Q</t>
  </si>
  <si>
    <t>Track932.DelayTON.Q</t>
  </si>
  <si>
    <t>Track107.DelayTON.Q</t>
  </si>
  <si>
    <t>Gate</t>
  </si>
  <si>
    <t>54Photo.Int</t>
  </si>
  <si>
    <t>Track115</t>
  </si>
  <si>
    <t>Track411</t>
  </si>
  <si>
    <t>Track412</t>
  </si>
  <si>
    <t>Track411.DelayTON.Q</t>
  </si>
  <si>
    <t>Track412 if Blocked is TRUE</t>
  </si>
  <si>
    <t>OFFLINE LOADING</t>
  </si>
  <si>
    <t>Track801</t>
  </si>
  <si>
    <t>S18Photo.Int</t>
  </si>
  <si>
    <t>Track802</t>
  </si>
  <si>
    <t>Track802.DelayTON.Q</t>
  </si>
  <si>
    <t>Delay for S18 Clear</t>
  </si>
  <si>
    <t>Track803</t>
  </si>
  <si>
    <t>Track804</t>
  </si>
  <si>
    <t>S20Photo.Int</t>
  </si>
  <si>
    <t>Track811</t>
  </si>
  <si>
    <t>Track812</t>
  </si>
  <si>
    <t>NOT(Tracking81.Blocked)</t>
  </si>
  <si>
    <t>Tracking82</t>
  </si>
  <si>
    <t>Track821</t>
  </si>
  <si>
    <t>Track822</t>
  </si>
  <si>
    <t>Track821.DelayTON.Q</t>
  </si>
  <si>
    <t>Track805</t>
  </si>
  <si>
    <t>S5Photo.Int</t>
  </si>
  <si>
    <t>NOT S13Photo.Int</t>
  </si>
  <si>
    <t>WILL MAX REMAINING DISPLAY WORK? NO</t>
  </si>
  <si>
    <t>Ax*.Seek1 AND Ax*.Active AS N42</t>
  </si>
  <si>
    <t>Track208.Active</t>
  </si>
  <si>
    <t>Track302.Active</t>
  </si>
  <si>
    <t>Track402.Active</t>
  </si>
  <si>
    <t>Tracking41.Busy</t>
  </si>
  <si>
    <t>Tracking50.Busy</t>
  </si>
  <si>
    <t>Tracking80.Busy</t>
  </si>
  <si>
    <t>Help4_2</t>
  </si>
  <si>
    <t>Tracking60.Busy</t>
  </si>
  <si>
    <t>Help5_3</t>
  </si>
  <si>
    <t>Track603.Active</t>
  </si>
  <si>
    <t>Tracking70.Busy</t>
  </si>
  <si>
    <t>Help5_4</t>
  </si>
  <si>
    <t>Tracking81.Busy</t>
  </si>
  <si>
    <t>Track812.Active</t>
  </si>
  <si>
    <t>Tracking82.Busy</t>
  </si>
  <si>
    <t>Vis.P11.Status1[11]</t>
  </si>
  <si>
    <t>Vis.P11.Status1[12]</t>
  </si>
  <si>
    <t>Track108.Active</t>
  </si>
  <si>
    <t>Track115.Active</t>
  </si>
  <si>
    <t>Vis.P11.Layers.Layer9</t>
  </si>
  <si>
    <t>SEAMER 2</t>
  </si>
  <si>
    <t>BUFFER 1</t>
  </si>
  <si>
    <t>BUFFER 2</t>
  </si>
  <si>
    <t>LOADING</t>
  </si>
  <si>
    <t>SEAMER 1</t>
  </si>
  <si>
    <t>CORNER</t>
  </si>
  <si>
    <t>Help6_2Block</t>
  </si>
  <si>
    <t>INFORMATION</t>
  </si>
  <si>
    <t>Help8_1</t>
  </si>
  <si>
    <t>Help9_1</t>
  </si>
  <si>
    <t>BATCHING</t>
  </si>
  <si>
    <t>Help10_1</t>
  </si>
  <si>
    <t>Position 9</t>
  </si>
  <si>
    <t>Position 10</t>
  </si>
  <si>
    <t>Help8_1Block</t>
  </si>
  <si>
    <t>Vis.P11.Layers.Layer10</t>
  </si>
  <si>
    <t>Help8_2Block</t>
  </si>
  <si>
    <t>Ax1.Blocked</t>
  </si>
  <si>
    <t>Ax2.Blocked</t>
  </si>
  <si>
    <t>Furnace Ready input control</t>
  </si>
  <si>
    <t>INPUT</t>
  </si>
  <si>
    <t>Scale delays for washer exit.</t>
  </si>
  <si>
    <t>Stop centering with S18</t>
  </si>
  <si>
    <t>SWAP Sol20DT1 TO X2X10.P9</t>
  </si>
  <si>
    <t>SWAP S100Reed.In TO X2X10.P16</t>
  </si>
  <si>
    <t>CHECK X2X18RM6 MAPPING</t>
  </si>
  <si>
    <t>BLOCK UNTIL FLIP ARMS ARE RAISED</t>
  </si>
  <si>
    <t>ALL START AFTER ESTOP</t>
  </si>
  <si>
    <t>display area</t>
  </si>
  <si>
    <t>98" x 197"</t>
  </si>
  <si>
    <t>Row1</t>
  </si>
  <si>
    <t>1.Width</t>
  </si>
  <si>
    <t>1.Length</t>
  </si>
  <si>
    <t>2.Width</t>
  </si>
  <si>
    <t>2.Length</t>
  </si>
  <si>
    <t>3.Width</t>
  </si>
  <si>
    <t>3.Length</t>
  </si>
  <si>
    <t>Row2</t>
  </si>
  <si>
    <t>Row3</t>
  </si>
  <si>
    <t>.x1</t>
  </si>
  <si>
    <t>.y1</t>
  </si>
  <si>
    <t>old</t>
  </si>
  <si>
    <t>mirrored</t>
  </si>
  <si>
    <t>.width</t>
  </si>
  <si>
    <t>.height</t>
  </si>
  <si>
    <t>.str</t>
  </si>
  <si>
    <t>'63 X 29 1/2'</t>
  </si>
  <si>
    <t>'55 1/8 X 27 9/16'</t>
  </si>
  <si>
    <t>'59 1/16 X 31 1/2'</t>
  </si>
  <si>
    <t>'62 X 31 1/2'</t>
  </si>
  <si>
    <t>'61 X 27 9/16'</t>
  </si>
  <si>
    <t>Gap Scaled</t>
  </si>
  <si>
    <t>Display Area</t>
  </si>
  <si>
    <t>.Left</t>
  </si>
  <si>
    <t>.Top</t>
  </si>
  <si>
    <t>.Width</t>
  </si>
  <si>
    <t>.Height</t>
  </si>
  <si>
    <t>CentreLine of Row</t>
  </si>
  <si>
    <t xml:space="preserve"> + Row Width /2</t>
  </si>
  <si>
    <t xml:space="preserve"> - Height</t>
  </si>
  <si>
    <t>Old</t>
  </si>
  <si>
    <t xml:space="preserve"> - Gap</t>
  </si>
  <si>
    <t>((884 - VisBatch.Control.RowWidthScaled)/2) + 64</t>
  </si>
  <si>
    <t>VisBatch.Param.height + VisBatch.Control.GapWScaled + VisBatch.Control.Y1Old</t>
  </si>
  <si>
    <t>VisBatch.Control.Y1Old - VisBatch.Param.height - VisBatch.Control.GapWScaled</t>
  </si>
  <si>
    <t>64 + (884/2) + ((VisBatch.Control.RowWidthScaled)/2) - VisBatch.Param.height</t>
  </si>
  <si>
    <t>Inches</t>
  </si>
  <si>
    <t>Fraction</t>
  </si>
  <si>
    <t>Denominator</t>
  </si>
  <si>
    <t>Metric</t>
  </si>
  <si>
    <t>PORTRAIT BATCHING DISPLAY</t>
  </si>
  <si>
    <t>BatchData Ln114 Remove Comments</t>
  </si>
  <si>
    <t>Leading Edge</t>
  </si>
  <si>
    <t>piece 1</t>
  </si>
  <si>
    <t>Centreline</t>
  </si>
  <si>
    <t>Centreline value (540) + half row width - width</t>
  </si>
  <si>
    <t>piece n</t>
  </si>
  <si>
    <t>Leading Edge - longest in row</t>
  </si>
  <si>
    <t>row 1</t>
  </si>
  <si>
    <t>row n</t>
  </si>
  <si>
    <t>old - longest - length gap</t>
  </si>
  <si>
    <t>old - width - width gap</t>
  </si>
  <si>
    <t>VisBatch.Control.X1Old := VisBatch.Param.x1;</t>
  </si>
  <si>
    <t>VisBatch.Param.x1 := (540 + (VisBatch.Control.RowWidthRaw/2) - VisBatch.Control.WidthRaw);</t>
  </si>
  <si>
    <t>RowWidth</t>
  </si>
  <si>
    <t>Extract</t>
  </si>
  <si>
    <t>GapW</t>
  </si>
  <si>
    <t>RowWidthRaw</t>
  </si>
  <si>
    <t>VisBatch.Param.x1 := (VisBatch.Control.X1Old - VisBatch.Control.WidthRaw - VisBatch.Control.GapWScaled);</t>
  </si>
  <si>
    <t>Width Gap</t>
  </si>
  <si>
    <t>FOR pieces in row</t>
  </si>
  <si>
    <t>1st piece in row</t>
  </si>
  <si>
    <t>nth piece in row</t>
  </si>
  <si>
    <t>FOR rows in batch</t>
  </si>
  <si>
    <t>END_FOR</t>
  </si>
  <si>
    <t>VisBatch.Param.y1 := (1775 - VisBatch.Control.LongestScaled);</t>
  </si>
  <si>
    <t>VisBatch.Control.Y1Old := VisBatch.Param.y1;</t>
  </si>
  <si>
    <t>1st Row in batch</t>
  </si>
  <si>
    <t>nth Row in Batch</t>
  </si>
  <si>
    <t>VisBatch.Param.y1 := (VisBatch.Control.Y1Old - VisBatch.Control.LongestScaled - VisBatch.Control.GapLScaled);</t>
  </si>
  <si>
    <t>.RowIndex</t>
  </si>
  <si>
    <t>Footpedal Start for Next and Confirm</t>
  </si>
  <si>
    <t>ClearBatch.In</t>
  </si>
  <si>
    <t>Clear Batch Button</t>
  </si>
  <si>
    <t>Timeout#</t>
  </si>
  <si>
    <t>S66PB.In</t>
  </si>
  <si>
    <t>DISTANCE</t>
  </si>
  <si>
    <t>Tracking51</t>
  </si>
  <si>
    <t>Track511</t>
  </si>
  <si>
    <t>Track512</t>
  </si>
  <si>
    <t>NOT(Tracking51.Blocked)</t>
  </si>
  <si>
    <t>Track513</t>
  </si>
  <si>
    <t>MANUAL BATCHING</t>
  </si>
  <si>
    <t>S58Lever.Int</t>
  </si>
  <si>
    <t>TO TRACK701</t>
  </si>
  <si>
    <t>ADDED FOR V1.7</t>
  </si>
  <si>
    <t>USE TrackDelayPT.PTTrack603</t>
  </si>
  <si>
    <t>Tracking51.Busy</t>
  </si>
  <si>
    <t>Vis.P11.Status1[13]</t>
  </si>
  <si>
    <t>Help4_3</t>
  </si>
  <si>
    <t>Track513.Active</t>
  </si>
  <si>
    <t>Vis.P11.Layers.Layer11</t>
  </si>
  <si>
    <t>Help4_3Block</t>
  </si>
  <si>
    <t>S48Foot.In</t>
  </si>
  <si>
    <t>S58Lever.In</t>
  </si>
  <si>
    <t>NextBatch</t>
  </si>
  <si>
    <t>Track941</t>
  </si>
  <si>
    <t>Changed V3.0</t>
  </si>
  <si>
    <t>Removed V3.0</t>
  </si>
  <si>
    <t>Sol37Spray</t>
  </si>
  <si>
    <t>Solenoid Valve 37 Atomiser Spray</t>
  </si>
  <si>
    <t>Sol47Spray</t>
  </si>
  <si>
    <t>Solenoid Valve 47 Atomiser Spray 2</t>
  </si>
  <si>
    <t>Solenoid Valve 53 Recirculation</t>
  </si>
  <si>
    <t>Sol53Recirc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</si>
</sst>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6"/>
      <color indexed="10"/>
      <name val="Arial"/>
      <family val="2"/>
    </font>
    <font>
      <sz val="16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sz val="28"/>
      <color indexed="22"/>
      <name val="Arial"/>
      <family val="2"/>
    </font>
    <font>
      <sz val="16"/>
      <color indexed="9"/>
      <name val="Arial"/>
      <family val="2"/>
    </font>
    <font>
      <i/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6"/>
      <color theme="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10"/>
      <color theme="0"/>
      <name val="Arial"/>
      <family val="2"/>
    </font>
    <font>
      <b/>
      <sz val="11"/>
      <color rgb="FFFA7D00"/>
      <name val="Calibri"/>
      <family val="2"/>
      <scheme val="minor"/>
    </font>
    <font>
      <sz val="10"/>
      <color theme="0" tint="-0.499984740745262"/>
      <name val="Arial"/>
      <family val="2"/>
    </font>
    <font>
      <b/>
      <sz val="11"/>
      <color theme="0"/>
      <name val="Calibri"/>
      <family val="2"/>
      <scheme val="minor"/>
    </font>
    <font>
      <sz val="9"/>
      <color theme="0" tint="-0.249977111117893"/>
      <name val="Arial"/>
      <family val="2"/>
    </font>
    <font>
      <sz val="9"/>
      <color theme="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lightUp"/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7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19" fillId="14" borderId="0" applyNumberFormat="0" applyBorder="0" applyAlignment="0" applyProtection="0"/>
    <xf numFmtId="0" fontId="20" fillId="15" borderId="0" applyNumberFormat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/>
    <xf numFmtId="0" fontId="4" fillId="0" borderId="0"/>
    <xf numFmtId="0" fontId="26" fillId="18" borderId="60" applyNumberFormat="0" applyAlignment="0" applyProtection="0"/>
    <xf numFmtId="0" fontId="28" fillId="19" borderId="64" applyNumberFormat="0" applyAlignment="0" applyProtection="0"/>
    <xf numFmtId="0" fontId="2" fillId="0" borderId="0"/>
    <xf numFmtId="0" fontId="36" fillId="22" borderId="60" applyNumberFormat="0" applyAlignment="0" applyProtection="0"/>
    <xf numFmtId="0" fontId="37" fillId="23" borderId="0" applyNumberFormat="0" applyBorder="0" applyAlignment="0" applyProtection="0"/>
  </cellStyleXfs>
  <cellXfs count="26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0" fillId="0" borderId="2" xfId="0" applyBorder="1"/>
    <xf numFmtId="0" fontId="8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7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2" borderId="1" xfId="0" applyFont="1" applyFill="1" applyBorder="1"/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vertical="center"/>
    </xf>
    <xf numFmtId="2" fontId="0" fillId="0" borderId="2" xfId="0" applyNumberFormat="1" applyBorder="1"/>
    <xf numFmtId="0" fontId="0" fillId="0" borderId="7" xfId="0" applyBorder="1"/>
    <xf numFmtId="164" fontId="0" fillId="0" borderId="0" xfId="0" applyNumberFormat="1"/>
    <xf numFmtId="0" fontId="0" fillId="0" borderId="8" xfId="0" applyBorder="1"/>
    <xf numFmtId="164" fontId="0" fillId="0" borderId="6" xfId="0" applyNumberFormat="1" applyBorder="1" applyAlignment="1">
      <alignment horizontal="center"/>
    </xf>
    <xf numFmtId="164" fontId="0" fillId="0" borderId="11" xfId="0" applyNumberFormat="1" applyBorder="1"/>
    <xf numFmtId="0" fontId="0" fillId="3" borderId="1" xfId="0" applyFill="1" applyBorder="1"/>
    <xf numFmtId="0" fontId="14" fillId="2" borderId="1" xfId="0" applyFont="1" applyFill="1" applyBorder="1"/>
    <xf numFmtId="0" fontId="14" fillId="0" borderId="0" xfId="0" applyFont="1"/>
    <xf numFmtId="0" fontId="0" fillId="0" borderId="0" xfId="0" quotePrefix="1"/>
    <xf numFmtId="0" fontId="0" fillId="0" borderId="0" xfId="0" applyAlignment="1">
      <alignment horizontal="left"/>
    </xf>
    <xf numFmtId="2" fontId="0" fillId="0" borderId="1" xfId="0" applyNumberFormat="1" applyBorder="1"/>
    <xf numFmtId="2" fontId="0" fillId="0" borderId="0" xfId="0" applyNumberFormat="1"/>
    <xf numFmtId="0" fontId="0" fillId="0" borderId="12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16" xfId="0" applyBorder="1"/>
    <xf numFmtId="164" fontId="0" fillId="0" borderId="1" xfId="0" applyNumberFormat="1" applyBorder="1" applyAlignment="1">
      <alignment horizontal="center"/>
    </xf>
    <xf numFmtId="0" fontId="0" fillId="0" borderId="19" xfId="0" applyBorder="1"/>
    <xf numFmtId="1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15" xfId="0" applyBorder="1"/>
    <xf numFmtId="0" fontId="0" fillId="4" borderId="1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4" borderId="21" xfId="0" applyFill="1" applyBorder="1" applyAlignment="1">
      <alignment horizontal="center"/>
    </xf>
    <xf numFmtId="0" fontId="15" fillId="6" borderId="22" xfId="0" applyFont="1" applyFill="1" applyBorder="1"/>
    <xf numFmtId="0" fontId="0" fillId="0" borderId="23" xfId="0" applyBorder="1"/>
    <xf numFmtId="0" fontId="0" fillId="0" borderId="15" xfId="0" applyBorder="1" applyAlignment="1">
      <alignment horizontal="left"/>
    </xf>
    <xf numFmtId="0" fontId="0" fillId="0" borderId="24" xfId="0" applyBorder="1"/>
    <xf numFmtId="0" fontId="0" fillId="0" borderId="12" xfId="0" applyBorder="1"/>
    <xf numFmtId="0" fontId="15" fillId="7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25" xfId="0" applyFill="1" applyBorder="1" applyAlignment="1">
      <alignment vertical="center"/>
    </xf>
    <xf numFmtId="0" fontId="12" fillId="10" borderId="25" xfId="0" applyFont="1" applyFill="1" applyBorder="1" applyAlignment="1">
      <alignment horizontal="center" vertical="center"/>
    </xf>
    <xf numFmtId="0" fontId="0" fillId="2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6" fillId="2" borderId="26" xfId="0" quotePrefix="1" applyFont="1" applyFill="1" applyBorder="1" applyAlignment="1">
      <alignment horizontal="center" vertical="center"/>
    </xf>
    <xf numFmtId="0" fontId="6" fillId="0" borderId="26" xfId="0" quotePrefix="1" applyFont="1" applyBorder="1" applyAlignment="1">
      <alignment horizontal="center" vertical="center"/>
    </xf>
    <xf numFmtId="0" fontId="9" fillId="9" borderId="1" xfId="0" applyFont="1" applyFill="1" applyBorder="1"/>
    <xf numFmtId="0" fontId="14" fillId="9" borderId="1" xfId="0" applyFont="1" applyFill="1" applyBorder="1"/>
    <xf numFmtId="0" fontId="8" fillId="0" borderId="2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0" fillId="2" borderId="9" xfId="0" applyFill="1" applyBorder="1"/>
    <xf numFmtId="0" fontId="17" fillId="10" borderId="1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10" borderId="45" xfId="0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vertical="center"/>
    </xf>
    <xf numFmtId="0" fontId="0" fillId="10" borderId="45" xfId="0" applyFill="1" applyBorder="1" applyAlignment="1">
      <alignment vertical="center"/>
    </xf>
    <xf numFmtId="0" fontId="13" fillId="10" borderId="46" xfId="0" applyFont="1" applyFill="1" applyBorder="1" applyAlignment="1">
      <alignment horizontal="center" vertical="center"/>
    </xf>
    <xf numFmtId="0" fontId="12" fillId="10" borderId="46" xfId="0" applyFont="1" applyFill="1" applyBorder="1" applyAlignment="1">
      <alignment horizontal="center" vertical="center"/>
    </xf>
    <xf numFmtId="0" fontId="0" fillId="10" borderId="33" xfId="0" applyFill="1" applyBorder="1" applyAlignment="1">
      <alignment vertical="center"/>
    </xf>
    <xf numFmtId="0" fontId="0" fillId="4" borderId="0" xfId="0" applyFill="1"/>
    <xf numFmtId="0" fontId="11" fillId="4" borderId="0" xfId="0" applyFont="1" applyFill="1"/>
    <xf numFmtId="0" fontId="11" fillId="4" borderId="0" xfId="0" applyFont="1" applyFill="1" applyAlignment="1">
      <alignment horizontal="left"/>
    </xf>
    <xf numFmtId="0" fontId="5" fillId="0" borderId="0" xfId="3" applyAlignment="1" applyProtection="1"/>
    <xf numFmtId="0" fontId="20" fillId="15" borderId="0" xfId="2"/>
    <xf numFmtId="0" fontId="21" fillId="16" borderId="7" xfId="4" applyBorder="1"/>
    <xf numFmtId="0" fontId="21" fillId="16" borderId="0" xfId="4" applyBorder="1"/>
    <xf numFmtId="0" fontId="21" fillId="16" borderId="8" xfId="4" applyBorder="1"/>
    <xf numFmtId="0" fontId="19" fillId="14" borderId="0" xfId="1"/>
    <xf numFmtId="0" fontId="20" fillId="15" borderId="0" xfId="2" applyBorder="1"/>
    <xf numFmtId="0" fontId="9" fillId="2" borderId="9" xfId="0" applyFont="1" applyFill="1" applyBorder="1"/>
    <xf numFmtId="0" fontId="7" fillId="2" borderId="4" xfId="0" applyFont="1" applyFill="1" applyBorder="1" applyAlignment="1">
      <alignment horizontal="center" vertical="center" wrapText="1"/>
    </xf>
    <xf numFmtId="0" fontId="18" fillId="0" borderId="0" xfId="0" applyFont="1"/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/>
    </xf>
    <xf numFmtId="0" fontId="13" fillId="10" borderId="44" xfId="0" applyFont="1" applyFill="1" applyBorder="1" applyAlignment="1">
      <alignment horizontal="center" vertical="center"/>
    </xf>
    <xf numFmtId="0" fontId="13" fillId="10" borderId="5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15" borderId="1" xfId="2" applyBorder="1"/>
    <xf numFmtId="0" fontId="21" fillId="16" borderId="1" xfId="4" applyBorder="1"/>
    <xf numFmtId="0" fontId="21" fillId="16" borderId="0" xfId="4"/>
    <xf numFmtId="2" fontId="21" fillId="16" borderId="2" xfId="4" applyNumberFormat="1" applyBorder="1"/>
    <xf numFmtId="2" fontId="20" fillId="15" borderId="2" xfId="2" applyNumberFormat="1" applyBorder="1"/>
    <xf numFmtId="0" fontId="0" fillId="0" borderId="1" xfId="0" applyBorder="1" applyAlignment="1">
      <alignment horizontal="right"/>
    </xf>
    <xf numFmtId="0" fontId="0" fillId="0" borderId="54" xfId="0" applyBorder="1" applyAlignment="1">
      <alignment horizontal="center"/>
    </xf>
    <xf numFmtId="2" fontId="0" fillId="0" borderId="54" xfId="0" applyNumberFormat="1" applyBorder="1" applyAlignment="1">
      <alignment horizontal="center"/>
    </xf>
    <xf numFmtId="1" fontId="0" fillId="0" borderId="2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1" xfId="0" applyNumberFormat="1" applyBorder="1"/>
    <xf numFmtId="0" fontId="22" fillId="0" borderId="45" xfId="0" applyFont="1" applyBorder="1" applyAlignment="1">
      <alignment horizontal="center" vertical="center"/>
    </xf>
    <xf numFmtId="0" fontId="21" fillId="16" borderId="25" xfId="4" applyBorder="1"/>
    <xf numFmtId="0" fontId="21" fillId="16" borderId="54" xfId="4" applyBorder="1"/>
    <xf numFmtId="0" fontId="0" fillId="0" borderId="54" xfId="0" applyBorder="1"/>
    <xf numFmtId="0" fontId="21" fillId="16" borderId="28" xfId="4" applyBorder="1"/>
    <xf numFmtId="0" fontId="21" fillId="16" borderId="55" xfId="4" applyBorder="1"/>
    <xf numFmtId="0" fontId="21" fillId="16" borderId="56" xfId="4" applyBorder="1"/>
    <xf numFmtId="0" fontId="21" fillId="16" borderId="57" xfId="4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11" xfId="0" applyBorder="1"/>
    <xf numFmtId="0" fontId="0" fillId="0" borderId="58" xfId="0" applyBorder="1"/>
    <xf numFmtId="0" fontId="21" fillId="16" borderId="11" xfId="4" applyBorder="1"/>
    <xf numFmtId="0" fontId="21" fillId="16" borderId="58" xfId="4" applyBorder="1"/>
    <xf numFmtId="0" fontId="13" fillId="17" borderId="1" xfId="0" applyFont="1" applyFill="1" applyBorder="1" applyAlignment="1">
      <alignment horizontal="center" vertical="center"/>
    </xf>
    <xf numFmtId="0" fontId="19" fillId="0" borderId="0" xfId="1" quotePrefix="1" applyFill="1"/>
    <xf numFmtId="0" fontId="4" fillId="0" borderId="0" xfId="5"/>
    <xf numFmtId="0" fontId="23" fillId="2" borderId="17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3" fillId="0" borderId="59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0" fontId="24" fillId="11" borderId="18" xfId="0" applyFont="1" applyFill="1" applyBorder="1" applyAlignment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4" fillId="12" borderId="3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6" fillId="18" borderId="60" xfId="6" applyAlignment="1"/>
    <xf numFmtId="0" fontId="26" fillId="18" borderId="61" xfId="6" applyBorder="1" applyAlignment="1"/>
    <xf numFmtId="0" fontId="21" fillId="16" borderId="0" xfId="4" applyAlignment="1"/>
    <xf numFmtId="0" fontId="20" fillId="15" borderId="0" xfId="2" applyBorder="1" applyAlignment="1"/>
    <xf numFmtId="0" fontId="20" fillId="15" borderId="8" xfId="2" applyBorder="1" applyAlignment="1"/>
    <xf numFmtId="0" fontId="19" fillId="14" borderId="0" xfId="1" applyAlignment="1"/>
    <xf numFmtId="0" fontId="20" fillId="15" borderId="9" xfId="2" applyBorder="1"/>
    <xf numFmtId="0" fontId="0" fillId="0" borderId="9" xfId="0" applyBorder="1"/>
    <xf numFmtId="0" fontId="20" fillId="15" borderId="62" xfId="2" applyBorder="1" applyAlignment="1"/>
    <xf numFmtId="0" fontId="20" fillId="15" borderId="9" xfId="2" applyBorder="1" applyAlignment="1"/>
    <xf numFmtId="0" fontId="21" fillId="16" borderId="9" xfId="4" applyBorder="1" applyAlignment="1"/>
    <xf numFmtId="0" fontId="19" fillId="14" borderId="9" xfId="1" applyBorder="1" applyAlignment="1"/>
    <xf numFmtId="0" fontId="22" fillId="0" borderId="42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0" fillId="15" borderId="7" xfId="2" applyBorder="1" applyAlignment="1"/>
    <xf numFmtId="0" fontId="26" fillId="18" borderId="63" xfId="6" applyBorder="1" applyAlignment="1"/>
    <xf numFmtId="0" fontId="27" fillId="2" borderId="9" xfId="0" applyFont="1" applyFill="1" applyBorder="1"/>
    <xf numFmtId="0" fontId="9" fillId="0" borderId="9" xfId="0" applyFont="1" applyBorder="1"/>
    <xf numFmtId="0" fontId="28" fillId="19" borderId="64" xfId="7" applyAlignment="1"/>
    <xf numFmtId="0" fontId="20" fillId="15" borderId="62" xfId="2" applyBorder="1"/>
    <xf numFmtId="0" fontId="0" fillId="2" borderId="7" xfId="0" applyFill="1" applyBorder="1"/>
    <xf numFmtId="0" fontId="19" fillId="14" borderId="9" xfId="1" applyBorder="1"/>
    <xf numFmtId="0" fontId="21" fillId="16" borderId="9" xfId="4" applyBorder="1"/>
    <xf numFmtId="0" fontId="20" fillId="0" borderId="0" xfId="2" applyFill="1"/>
    <xf numFmtId="0" fontId="29" fillId="2" borderId="4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/>
    </xf>
    <xf numFmtId="0" fontId="29" fillId="20" borderId="4" xfId="0" applyFont="1" applyFill="1" applyBorder="1" applyAlignment="1">
      <alignment horizontal="center" vertical="center" wrapText="1"/>
    </xf>
    <xf numFmtId="0" fontId="29" fillId="20" borderId="3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0" fontId="30" fillId="21" borderId="4" xfId="0" applyFont="1" applyFill="1" applyBorder="1" applyAlignment="1">
      <alignment horizontal="center" vertical="center" wrapText="1"/>
    </xf>
    <xf numFmtId="0" fontId="30" fillId="21" borderId="3" xfId="0" applyFont="1" applyFill="1" applyBorder="1" applyAlignment="1">
      <alignment horizontal="center" vertical="center"/>
    </xf>
    <xf numFmtId="0" fontId="3" fillId="0" borderId="0" xfId="5" applyFont="1"/>
    <xf numFmtId="0" fontId="2" fillId="0" borderId="0" xfId="5" applyFont="1"/>
    <xf numFmtId="0" fontId="32" fillId="0" borderId="0" xfId="5" applyFont="1"/>
    <xf numFmtId="0" fontId="31" fillId="0" borderId="0" xfId="5" applyFont="1"/>
    <xf numFmtId="0" fontId="1" fillId="0" borderId="0" xfId="5" applyFont="1"/>
    <xf numFmtId="20" fontId="4" fillId="0" borderId="0" xfId="5" applyNumberFormat="1"/>
    <xf numFmtId="0" fontId="21" fillId="16" borderId="60" xfId="4" applyBorder="1" applyAlignment="1"/>
    <xf numFmtId="0" fontId="35" fillId="2" borderId="9" xfId="0" applyFont="1" applyFill="1" applyBorder="1"/>
    <xf numFmtId="0" fontId="35" fillId="2" borderId="7" xfId="0" applyFont="1" applyFill="1" applyBorder="1"/>
    <xf numFmtId="0" fontId="35" fillId="0" borderId="9" xfId="0" applyFont="1" applyBorder="1"/>
    <xf numFmtId="0" fontId="35" fillId="0" borderId="0" xfId="0" applyFont="1"/>
    <xf numFmtId="0" fontId="26" fillId="18" borderId="0" xfId="6" applyBorder="1" applyAlignment="1"/>
    <xf numFmtId="0" fontId="20" fillId="15" borderId="60" xfId="2" applyBorder="1"/>
    <xf numFmtId="0" fontId="37" fillId="23" borderId="60" xfId="10" applyBorder="1" applyAlignment="1"/>
    <xf numFmtId="0" fontId="37" fillId="23" borderId="9" xfId="10" applyBorder="1" applyAlignment="1"/>
    <xf numFmtId="0" fontId="37" fillId="23" borderId="9" xfId="10" applyBorder="1"/>
    <xf numFmtId="0" fontId="37" fillId="23" borderId="62" xfId="10" applyBorder="1" applyAlignment="1"/>
    <xf numFmtId="0" fontId="36" fillId="22" borderId="60" xfId="9" applyAlignment="1"/>
    <xf numFmtId="0" fontId="6" fillId="0" borderId="2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textRotation="90" wrapText="1"/>
    </xf>
    <xf numFmtId="0" fontId="16" fillId="0" borderId="14" xfId="0" applyFont="1" applyBorder="1" applyAlignment="1">
      <alignment horizontal="center" vertical="center" textRotation="90" wrapText="1"/>
    </xf>
    <xf numFmtId="0" fontId="16" fillId="0" borderId="15" xfId="0" applyFont="1" applyBorder="1" applyAlignment="1">
      <alignment horizontal="center" vertical="center" textRotation="90" wrapText="1"/>
    </xf>
    <xf numFmtId="0" fontId="16" fillId="0" borderId="16" xfId="0" applyFont="1" applyBorder="1" applyAlignment="1">
      <alignment horizontal="center" vertical="center" textRotation="90" wrapText="1"/>
    </xf>
    <xf numFmtId="0" fontId="16" fillId="0" borderId="23" xfId="0" applyFont="1" applyBorder="1" applyAlignment="1">
      <alignment horizontal="center" vertical="center" textRotation="90" wrapText="1"/>
    </xf>
    <xf numFmtId="0" fontId="16" fillId="0" borderId="19" xfId="0" applyFont="1" applyBorder="1" applyAlignment="1">
      <alignment horizontal="center" vertical="center" textRotation="90" wrapText="1"/>
    </xf>
    <xf numFmtId="0" fontId="16" fillId="0" borderId="0" xfId="0" applyFont="1" applyAlignment="1">
      <alignment horizontal="center" vertical="center" textRotation="90" wrapText="1"/>
    </xf>
    <xf numFmtId="0" fontId="16" fillId="0" borderId="24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1">
    <cellStyle name="Accent4" xfId="10" builtinId="41"/>
    <cellStyle name="Bad" xfId="1" builtinId="27"/>
    <cellStyle name="Calculation" xfId="6" builtinId="22"/>
    <cellStyle name="Check Cell" xfId="7" builtinId="23"/>
    <cellStyle name="Good" xfId="2" builtinId="26"/>
    <cellStyle name="Hyperlink" xfId="3" builtinId="8"/>
    <cellStyle name="Input" xfId="9" builtinId="20"/>
    <cellStyle name="Neutral" xfId="4" builtinId="28"/>
    <cellStyle name="Normal" xfId="0" builtinId="0"/>
    <cellStyle name="Normal 2" xfId="5" xr:uid="{00000000-0005-0000-0000-000007000000}"/>
    <cellStyle name="Normal 2 2" xfId="8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K95"/>
  <sheetViews>
    <sheetView topLeftCell="C61" workbookViewId="0">
      <selection activeCell="G94" sqref="G94"/>
    </sheetView>
  </sheetViews>
  <sheetFormatPr defaultRowHeight="12.75" x14ac:dyDescent="0.2"/>
  <cols>
    <col min="2" max="2" width="77.28515625" customWidth="1"/>
    <col min="4" max="4" width="87.42578125" customWidth="1"/>
    <col min="7" max="7" width="77.28515625" customWidth="1"/>
  </cols>
  <sheetData>
    <row r="1" spans="1:4" x14ac:dyDescent="0.2">
      <c r="B1" t="s">
        <v>79</v>
      </c>
      <c r="D1" t="s">
        <v>237</v>
      </c>
    </row>
    <row r="2" spans="1:4" ht="15" x14ac:dyDescent="0.25">
      <c r="A2">
        <v>1</v>
      </c>
      <c r="B2" s="116"/>
    </row>
    <row r="3" spans="1:4" ht="15" x14ac:dyDescent="0.25">
      <c r="A3">
        <v>2</v>
      </c>
      <c r="B3" s="116"/>
    </row>
    <row r="4" spans="1:4" ht="15" x14ac:dyDescent="0.25">
      <c r="A4">
        <v>3</v>
      </c>
      <c r="B4" s="116"/>
    </row>
    <row r="5" spans="1:4" ht="15" x14ac:dyDescent="0.25">
      <c r="A5">
        <v>4</v>
      </c>
      <c r="B5" s="116"/>
    </row>
    <row r="6" spans="1:4" ht="15" x14ac:dyDescent="0.25">
      <c r="A6">
        <v>5</v>
      </c>
      <c r="B6" s="116"/>
    </row>
    <row r="7" spans="1:4" ht="15" x14ac:dyDescent="0.25">
      <c r="A7">
        <v>6</v>
      </c>
      <c r="B7" s="116"/>
    </row>
    <row r="8" spans="1:4" ht="15" x14ac:dyDescent="0.25">
      <c r="A8">
        <v>7</v>
      </c>
      <c r="B8" s="116"/>
    </row>
    <row r="9" spans="1:4" ht="15" x14ac:dyDescent="0.25">
      <c r="A9">
        <v>8</v>
      </c>
      <c r="B9" s="116"/>
    </row>
    <row r="10" spans="1:4" ht="15" x14ac:dyDescent="0.25">
      <c r="A10">
        <v>9</v>
      </c>
      <c r="B10" s="116"/>
    </row>
    <row r="11" spans="1:4" ht="15" x14ac:dyDescent="0.25">
      <c r="A11">
        <v>10</v>
      </c>
      <c r="B11" s="116"/>
    </row>
    <row r="12" spans="1:4" ht="15" x14ac:dyDescent="0.25">
      <c r="A12">
        <v>11</v>
      </c>
      <c r="B12" s="116"/>
    </row>
    <row r="13" spans="1:4" ht="15" x14ac:dyDescent="0.25">
      <c r="A13">
        <v>12</v>
      </c>
      <c r="B13" s="116"/>
    </row>
    <row r="14" spans="1:4" ht="15" x14ac:dyDescent="0.25">
      <c r="A14">
        <v>13</v>
      </c>
      <c r="B14" s="116"/>
    </row>
    <row r="15" spans="1:4" ht="15" x14ac:dyDescent="0.25">
      <c r="A15">
        <v>14</v>
      </c>
      <c r="B15" s="116"/>
    </row>
    <row r="16" spans="1:4" ht="15" x14ac:dyDescent="0.25">
      <c r="A16">
        <v>15</v>
      </c>
      <c r="B16" s="116"/>
    </row>
    <row r="17" spans="1:2" ht="15" x14ac:dyDescent="0.25">
      <c r="A17">
        <v>16</v>
      </c>
      <c r="B17" s="116"/>
    </row>
    <row r="18" spans="1:2" ht="15" x14ac:dyDescent="0.25">
      <c r="A18">
        <v>17</v>
      </c>
      <c r="B18" s="116"/>
    </row>
    <row r="19" spans="1:2" ht="15" x14ac:dyDescent="0.25">
      <c r="A19">
        <v>18</v>
      </c>
      <c r="B19" s="116"/>
    </row>
    <row r="20" spans="1:2" ht="15" x14ac:dyDescent="0.25">
      <c r="A20">
        <v>19</v>
      </c>
      <c r="B20" s="116"/>
    </row>
    <row r="21" spans="1:2" ht="15" x14ac:dyDescent="0.25">
      <c r="A21">
        <v>20</v>
      </c>
      <c r="B21" s="116"/>
    </row>
    <row r="22" spans="1:2" ht="15" x14ac:dyDescent="0.25">
      <c r="A22">
        <v>21</v>
      </c>
      <c r="B22" s="116"/>
    </row>
    <row r="23" spans="1:2" ht="15" x14ac:dyDescent="0.25">
      <c r="A23">
        <v>22</v>
      </c>
      <c r="B23" s="116"/>
    </row>
    <row r="24" spans="1:2" ht="15" x14ac:dyDescent="0.25">
      <c r="A24">
        <v>23</v>
      </c>
      <c r="B24" s="116"/>
    </row>
    <row r="25" spans="1:2" ht="15" x14ac:dyDescent="0.25">
      <c r="A25">
        <v>24</v>
      </c>
      <c r="B25" s="116"/>
    </row>
    <row r="26" spans="1:2" ht="15" x14ac:dyDescent="0.25">
      <c r="A26">
        <v>25</v>
      </c>
      <c r="B26" s="116"/>
    </row>
    <row r="27" spans="1:2" ht="15" x14ac:dyDescent="0.25">
      <c r="A27">
        <v>26</v>
      </c>
      <c r="B27" s="116"/>
    </row>
    <row r="28" spans="1:2" ht="15" x14ac:dyDescent="0.25">
      <c r="A28">
        <v>27</v>
      </c>
      <c r="B28" s="116"/>
    </row>
    <row r="29" spans="1:2" ht="15" x14ac:dyDescent="0.25">
      <c r="A29">
        <v>28</v>
      </c>
      <c r="B29" s="116"/>
    </row>
    <row r="30" spans="1:2" ht="15" x14ac:dyDescent="0.25">
      <c r="A30">
        <v>29</v>
      </c>
      <c r="B30" s="116"/>
    </row>
    <row r="31" spans="1:2" ht="15" x14ac:dyDescent="0.25">
      <c r="A31">
        <v>30</v>
      </c>
      <c r="B31" s="116"/>
    </row>
    <row r="33" spans="1:5" x14ac:dyDescent="0.2">
      <c r="B33" t="s">
        <v>221</v>
      </c>
    </row>
    <row r="35" spans="1:5" ht="15" x14ac:dyDescent="0.25">
      <c r="A35">
        <v>1</v>
      </c>
      <c r="B35" s="112" t="s">
        <v>820</v>
      </c>
    </row>
    <row r="36" spans="1:5" ht="15" x14ac:dyDescent="0.25">
      <c r="A36">
        <v>2</v>
      </c>
      <c r="B36" s="112" t="s">
        <v>821</v>
      </c>
    </row>
    <row r="37" spans="1:5" ht="15" x14ac:dyDescent="0.25">
      <c r="A37">
        <v>3</v>
      </c>
      <c r="B37" s="112" t="s">
        <v>822</v>
      </c>
      <c r="D37" s="109" t="s">
        <v>61</v>
      </c>
    </row>
    <row r="38" spans="1:5" ht="15" x14ac:dyDescent="0.25">
      <c r="A38">
        <v>4</v>
      </c>
      <c r="B38" s="116"/>
      <c r="D38" s="110">
        <v>18849556</v>
      </c>
      <c r="E38" t="s">
        <v>62</v>
      </c>
    </row>
    <row r="39" spans="1:5" ht="15" x14ac:dyDescent="0.25">
      <c r="A39">
        <v>5</v>
      </c>
      <c r="B39" s="116"/>
      <c r="D39" s="110">
        <v>100000</v>
      </c>
      <c r="E39" t="s">
        <v>63</v>
      </c>
    </row>
    <row r="40" spans="1:5" ht="15" x14ac:dyDescent="0.25">
      <c r="A40">
        <v>6</v>
      </c>
      <c r="B40" s="116"/>
      <c r="D40" t="s">
        <v>397</v>
      </c>
    </row>
    <row r="41" spans="1:5" ht="15" x14ac:dyDescent="0.25">
      <c r="A41">
        <v>7</v>
      </c>
      <c r="B41" s="116"/>
      <c r="D41" s="110">
        <v>23750</v>
      </c>
      <c r="E41" t="s">
        <v>62</v>
      </c>
    </row>
    <row r="42" spans="1:5" ht="15" x14ac:dyDescent="0.25">
      <c r="A42">
        <v>8</v>
      </c>
      <c r="B42" s="116"/>
      <c r="D42" s="110">
        <v>10</v>
      </c>
      <c r="E42" t="s">
        <v>63</v>
      </c>
    </row>
    <row r="43" spans="1:5" ht="15" x14ac:dyDescent="0.25">
      <c r="A43">
        <v>9</v>
      </c>
      <c r="B43" s="116"/>
    </row>
    <row r="44" spans="1:5" ht="15" x14ac:dyDescent="0.25">
      <c r="A44">
        <v>10</v>
      </c>
      <c r="B44" s="116"/>
    </row>
    <row r="45" spans="1:5" ht="15" x14ac:dyDescent="0.25">
      <c r="A45">
        <v>11</v>
      </c>
      <c r="B45" s="116"/>
    </row>
    <row r="46" spans="1:5" ht="15" x14ac:dyDescent="0.25">
      <c r="A46">
        <v>12</v>
      </c>
      <c r="B46" s="116"/>
    </row>
    <row r="47" spans="1:5" x14ac:dyDescent="0.2">
      <c r="A47">
        <v>13</v>
      </c>
      <c r="B47" t="s">
        <v>299</v>
      </c>
    </row>
    <row r="49" spans="1:7" ht="15" x14ac:dyDescent="0.25">
      <c r="A49">
        <v>1</v>
      </c>
      <c r="B49" s="116"/>
    </row>
    <row r="50" spans="1:7" ht="15" x14ac:dyDescent="0.25">
      <c r="A50">
        <v>2</v>
      </c>
      <c r="B50" s="116"/>
    </row>
    <row r="53" spans="1:7" x14ac:dyDescent="0.2">
      <c r="B53" s="11" t="s">
        <v>79</v>
      </c>
      <c r="D53" t="s">
        <v>237</v>
      </c>
      <c r="F53" s="11"/>
      <c r="G53" s="11"/>
    </row>
    <row r="54" spans="1:7" ht="15" x14ac:dyDescent="0.25">
      <c r="A54" s="11">
        <v>1</v>
      </c>
      <c r="B54" s="116" t="s">
        <v>977</v>
      </c>
      <c r="C54" s="11">
        <v>1</v>
      </c>
      <c r="D54" s="116" t="s">
        <v>1116</v>
      </c>
      <c r="F54" s="11"/>
      <c r="G54" s="11"/>
    </row>
    <row r="55" spans="1:7" ht="15" x14ac:dyDescent="0.25">
      <c r="A55" s="11">
        <v>2</v>
      </c>
      <c r="B55" s="112" t="s">
        <v>1019</v>
      </c>
      <c r="C55" s="11">
        <v>2</v>
      </c>
    </row>
    <row r="56" spans="1:7" ht="15" x14ac:dyDescent="0.25">
      <c r="A56" s="11">
        <v>3</v>
      </c>
      <c r="B56" s="116" t="s">
        <v>1037</v>
      </c>
      <c r="C56" s="11">
        <v>3</v>
      </c>
      <c r="D56" t="s">
        <v>1564</v>
      </c>
      <c r="G56" s="11"/>
    </row>
    <row r="57" spans="1:7" ht="15" x14ac:dyDescent="0.25">
      <c r="A57" s="11">
        <v>4</v>
      </c>
      <c r="B57" s="116" t="s">
        <v>1038</v>
      </c>
      <c r="C57" s="11">
        <v>4</v>
      </c>
      <c r="D57" t="s">
        <v>1565</v>
      </c>
    </row>
    <row r="58" spans="1:7" ht="15" x14ac:dyDescent="0.25">
      <c r="A58" s="11">
        <v>5</v>
      </c>
      <c r="B58" s="112" t="s">
        <v>1472</v>
      </c>
      <c r="C58" s="11">
        <v>5</v>
      </c>
      <c r="D58" t="s">
        <v>1595</v>
      </c>
      <c r="G58" s="11"/>
    </row>
    <row r="59" spans="1:7" ht="15" x14ac:dyDescent="0.25">
      <c r="A59" s="11">
        <v>6</v>
      </c>
      <c r="B59" s="116" t="s">
        <v>1041</v>
      </c>
      <c r="C59" s="11">
        <v>6</v>
      </c>
      <c r="G59" s="11"/>
    </row>
    <row r="60" spans="1:7" ht="15" x14ac:dyDescent="0.25">
      <c r="A60" s="11">
        <v>7</v>
      </c>
      <c r="B60" s="112" t="s">
        <v>1055</v>
      </c>
      <c r="C60" s="11">
        <v>7</v>
      </c>
      <c r="G60" s="11"/>
    </row>
    <row r="61" spans="1:7" ht="15" x14ac:dyDescent="0.25">
      <c r="A61" s="11">
        <v>8</v>
      </c>
      <c r="B61" s="112" t="s">
        <v>1043</v>
      </c>
      <c r="C61" s="11">
        <v>8</v>
      </c>
      <c r="G61" s="11"/>
    </row>
    <row r="62" spans="1:7" ht="15" x14ac:dyDescent="0.25">
      <c r="A62" s="11">
        <v>9</v>
      </c>
      <c r="B62" s="116" t="s">
        <v>1515</v>
      </c>
      <c r="C62" s="11">
        <v>9</v>
      </c>
      <c r="G62" s="11"/>
    </row>
    <row r="63" spans="1:7" ht="15" x14ac:dyDescent="0.25">
      <c r="A63" s="11">
        <v>10</v>
      </c>
      <c r="B63" s="116" t="s">
        <v>1516</v>
      </c>
      <c r="C63" s="11">
        <v>10</v>
      </c>
    </row>
    <row r="64" spans="1:7" ht="15" x14ac:dyDescent="0.25">
      <c r="A64" s="11">
        <v>11</v>
      </c>
      <c r="B64" s="116"/>
      <c r="C64" s="11">
        <v>11</v>
      </c>
      <c r="G64" s="11"/>
    </row>
    <row r="65" spans="1:11" ht="15" x14ac:dyDescent="0.25">
      <c r="A65" s="11">
        <v>12</v>
      </c>
      <c r="B65" s="116" t="s">
        <v>1042</v>
      </c>
      <c r="C65" s="11">
        <v>12</v>
      </c>
      <c r="F65" s="11"/>
      <c r="G65" s="11"/>
    </row>
    <row r="66" spans="1:11" ht="15" x14ac:dyDescent="0.25">
      <c r="A66" s="11">
        <v>13</v>
      </c>
      <c r="B66" s="116" t="s">
        <v>1473</v>
      </c>
      <c r="C66" s="11">
        <v>13</v>
      </c>
      <c r="G66" s="11"/>
    </row>
    <row r="67" spans="1:11" ht="15" x14ac:dyDescent="0.25">
      <c r="A67" s="11">
        <v>14</v>
      </c>
      <c r="B67" s="112" t="s">
        <v>1424</v>
      </c>
      <c r="C67" s="11">
        <v>14</v>
      </c>
      <c r="G67" s="11"/>
    </row>
    <row r="68" spans="1:11" ht="15" x14ac:dyDescent="0.25">
      <c r="A68" s="11">
        <v>15</v>
      </c>
      <c r="B68" s="116" t="s">
        <v>1513</v>
      </c>
      <c r="C68" s="11">
        <v>15</v>
      </c>
      <c r="G68" s="11"/>
    </row>
    <row r="69" spans="1:11" x14ac:dyDescent="0.2">
      <c r="A69" s="11">
        <v>16</v>
      </c>
      <c r="C69" s="11">
        <v>16</v>
      </c>
      <c r="G69" s="11"/>
    </row>
    <row r="70" spans="1:11" x14ac:dyDescent="0.2">
      <c r="A70" s="11">
        <v>17</v>
      </c>
      <c r="C70" s="11">
        <v>17</v>
      </c>
      <c r="G70" s="11"/>
    </row>
    <row r="71" spans="1:11" x14ac:dyDescent="0.2">
      <c r="A71" s="11">
        <v>18</v>
      </c>
      <c r="C71" s="11">
        <v>18</v>
      </c>
      <c r="G71" s="11"/>
    </row>
    <row r="72" spans="1:11" x14ac:dyDescent="0.2">
      <c r="A72" s="11">
        <v>19</v>
      </c>
      <c r="C72" s="11">
        <v>19</v>
      </c>
      <c r="G72" s="11"/>
    </row>
    <row r="73" spans="1:11" x14ac:dyDescent="0.2">
      <c r="A73" s="11">
        <v>20</v>
      </c>
      <c r="C73" s="11">
        <v>20</v>
      </c>
      <c r="G73" s="11"/>
    </row>
    <row r="75" spans="1:11" x14ac:dyDescent="0.2">
      <c r="B75" t="s">
        <v>408</v>
      </c>
      <c r="D75" t="s">
        <v>293</v>
      </c>
      <c r="I75" s="11"/>
    </row>
    <row r="76" spans="1:11" ht="15" x14ac:dyDescent="0.25">
      <c r="B76" s="117"/>
      <c r="C76" s="116" t="s">
        <v>421</v>
      </c>
      <c r="D76" s="116" t="s">
        <v>1066</v>
      </c>
      <c r="F76">
        <v>1</v>
      </c>
    </row>
    <row r="77" spans="1:11" ht="15" x14ac:dyDescent="0.25">
      <c r="A77">
        <v>1</v>
      </c>
      <c r="B77" s="112" t="s">
        <v>1518</v>
      </c>
      <c r="C77" s="116" t="s">
        <v>422</v>
      </c>
      <c r="D77" s="233" t="s">
        <v>423</v>
      </c>
      <c r="F77">
        <v>2</v>
      </c>
    </row>
    <row r="78" spans="1:11" ht="15" x14ac:dyDescent="0.25">
      <c r="A78">
        <v>2</v>
      </c>
      <c r="B78" s="112" t="s">
        <v>1517</v>
      </c>
      <c r="C78" s="116" t="s">
        <v>424</v>
      </c>
      <c r="D78" s="116" t="s">
        <v>237</v>
      </c>
      <c r="F78">
        <v>3</v>
      </c>
      <c r="K78" s="11"/>
    </row>
    <row r="79" spans="1:11" ht="15" x14ac:dyDescent="0.25">
      <c r="A79">
        <v>3</v>
      </c>
      <c r="B79" s="112" t="s">
        <v>1519</v>
      </c>
      <c r="C79" s="116" t="s">
        <v>425</v>
      </c>
      <c r="D79" s="233" t="s">
        <v>426</v>
      </c>
      <c r="F79">
        <v>4</v>
      </c>
      <c r="K79" s="11"/>
    </row>
    <row r="80" spans="1:11" ht="15" x14ac:dyDescent="0.25">
      <c r="A80">
        <v>4</v>
      </c>
      <c r="B80" s="112" t="s">
        <v>1520</v>
      </c>
      <c r="C80" s="116" t="s">
        <v>427</v>
      </c>
      <c r="D80" s="233" t="s">
        <v>621</v>
      </c>
      <c r="F80">
        <v>5</v>
      </c>
      <c r="K80" s="11"/>
    </row>
    <row r="81" spans="1:11" ht="15" x14ac:dyDescent="0.25">
      <c r="A81">
        <v>5</v>
      </c>
      <c r="B81" s="116" t="s">
        <v>1521</v>
      </c>
      <c r="C81" s="116" t="s">
        <v>428</v>
      </c>
      <c r="D81" s="116" t="s">
        <v>776</v>
      </c>
      <c r="F81">
        <v>6</v>
      </c>
      <c r="K81" s="11"/>
    </row>
    <row r="82" spans="1:11" ht="15" x14ac:dyDescent="0.25">
      <c r="A82">
        <v>6</v>
      </c>
      <c r="B82" s="116"/>
      <c r="C82" s="116" t="s">
        <v>74</v>
      </c>
      <c r="D82" s="116" t="s">
        <v>429</v>
      </c>
      <c r="F82">
        <v>7</v>
      </c>
      <c r="K82" s="11"/>
    </row>
    <row r="83" spans="1:11" ht="15" x14ac:dyDescent="0.25">
      <c r="A83">
        <v>7</v>
      </c>
      <c r="B83" s="116"/>
      <c r="C83" s="116" t="s">
        <v>430</v>
      </c>
      <c r="D83" s="233" t="s">
        <v>431</v>
      </c>
      <c r="F83">
        <v>8</v>
      </c>
      <c r="K83" s="11"/>
    </row>
    <row r="84" spans="1:11" ht="15" x14ac:dyDescent="0.25">
      <c r="A84">
        <v>8</v>
      </c>
      <c r="B84" s="116"/>
      <c r="C84" s="116" t="s">
        <v>432</v>
      </c>
      <c r="D84" s="112" t="s">
        <v>433</v>
      </c>
      <c r="F84">
        <v>9</v>
      </c>
    </row>
    <row r="85" spans="1:11" ht="15" x14ac:dyDescent="0.25">
      <c r="A85">
        <v>9</v>
      </c>
      <c r="B85" s="116"/>
      <c r="C85" s="116" t="s">
        <v>434</v>
      </c>
      <c r="D85" s="116" t="s">
        <v>600</v>
      </c>
      <c r="F85">
        <v>10</v>
      </c>
    </row>
    <row r="86" spans="1:11" ht="15" x14ac:dyDescent="0.25">
      <c r="A86">
        <v>10</v>
      </c>
      <c r="B86" s="116"/>
      <c r="C86" s="116" t="s">
        <v>435</v>
      </c>
      <c r="D86" s="116" t="s">
        <v>436</v>
      </c>
      <c r="F86">
        <v>11</v>
      </c>
    </row>
    <row r="87" spans="1:11" ht="15" x14ac:dyDescent="0.25">
      <c r="A87">
        <v>11</v>
      </c>
      <c r="B87" s="116"/>
      <c r="C87" s="116" t="s">
        <v>437</v>
      </c>
      <c r="D87" s="116" t="s">
        <v>438</v>
      </c>
      <c r="F87">
        <v>12</v>
      </c>
      <c r="G87" s="11"/>
    </row>
    <row r="88" spans="1:11" ht="15" x14ac:dyDescent="0.25">
      <c r="A88">
        <v>12</v>
      </c>
      <c r="B88" s="116"/>
      <c r="C88" s="116" t="s">
        <v>22</v>
      </c>
      <c r="D88" s="116" t="s">
        <v>439</v>
      </c>
      <c r="F88">
        <v>13</v>
      </c>
    </row>
    <row r="89" spans="1:11" ht="15" x14ac:dyDescent="0.25">
      <c r="A89">
        <v>13</v>
      </c>
      <c r="B89" s="116"/>
      <c r="C89" s="116" t="s">
        <v>290</v>
      </c>
      <c r="D89" s="112" t="s">
        <v>440</v>
      </c>
      <c r="F89">
        <v>14</v>
      </c>
    </row>
    <row r="90" spans="1:11" ht="15" x14ac:dyDescent="0.25">
      <c r="A90">
        <v>14</v>
      </c>
      <c r="B90" s="116"/>
      <c r="C90" s="116" t="s">
        <v>73</v>
      </c>
      <c r="D90" s="116" t="s">
        <v>441</v>
      </c>
      <c r="F90">
        <v>15</v>
      </c>
    </row>
    <row r="91" spans="1:11" ht="15" x14ac:dyDescent="0.25">
      <c r="A91">
        <v>15</v>
      </c>
      <c r="B91" s="116"/>
      <c r="C91" s="133" t="s">
        <v>75</v>
      </c>
      <c r="D91" s="133" t="s">
        <v>601</v>
      </c>
    </row>
    <row r="92" spans="1:11" ht="15" x14ac:dyDescent="0.25">
      <c r="B92" s="108" t="s">
        <v>129</v>
      </c>
      <c r="C92" s="116" t="s">
        <v>442</v>
      </c>
      <c r="D92" s="116" t="s">
        <v>443</v>
      </c>
    </row>
    <row r="93" spans="1:11" ht="15" x14ac:dyDescent="0.25">
      <c r="C93" s="133" t="s">
        <v>444</v>
      </c>
      <c r="D93" s="133" t="s">
        <v>445</v>
      </c>
    </row>
    <row r="94" spans="1:11" ht="15" x14ac:dyDescent="0.25">
      <c r="C94" s="116" t="s">
        <v>693</v>
      </c>
      <c r="D94" s="116" t="s">
        <v>760</v>
      </c>
    </row>
    <row r="95" spans="1:11" ht="15" x14ac:dyDescent="0.25">
      <c r="C95" s="133" t="s">
        <v>599</v>
      </c>
      <c r="D95" s="133" t="s">
        <v>598</v>
      </c>
    </row>
  </sheetData>
  <pageMargins left="0.75" right="0.75" top="1" bottom="1" header="0.5" footer="0.5"/>
  <pageSetup paperSize="9" orientation="portrait" horizontalDpi="4294967293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85"/>
  <sheetViews>
    <sheetView topLeftCell="A55" zoomScale="92" zoomScaleNormal="92" workbookViewId="0">
      <selection activeCell="H83" sqref="H83"/>
    </sheetView>
  </sheetViews>
  <sheetFormatPr defaultRowHeight="12.75" x14ac:dyDescent="0.2"/>
  <cols>
    <col min="1" max="1" width="5.7109375" customWidth="1"/>
    <col min="2" max="2" width="12.85546875" customWidth="1"/>
    <col min="3" max="3" width="5.7109375" customWidth="1"/>
    <col min="4" max="4" width="12.85546875" customWidth="1"/>
    <col min="5" max="5" width="5.7109375" customWidth="1"/>
    <col min="6" max="6" width="12.85546875" customWidth="1"/>
    <col min="7" max="7" width="5.7109375" customWidth="1"/>
    <col min="8" max="8" width="12.85546875" customWidth="1"/>
    <col min="9" max="9" width="5.7109375" customWidth="1"/>
    <col min="10" max="10" width="12.85546875" customWidth="1"/>
    <col min="11" max="11" width="5.7109375" customWidth="1"/>
    <col min="12" max="12" width="12.85546875" customWidth="1"/>
    <col min="13" max="14" width="5.7109375" customWidth="1"/>
  </cols>
  <sheetData>
    <row r="1" spans="1:18" ht="13.5" thickBot="1" x14ac:dyDescent="0.25">
      <c r="R1" s="120"/>
    </row>
    <row r="2" spans="1:18" ht="13.5" thickBot="1" x14ac:dyDescent="0.25">
      <c r="B2" t="s">
        <v>155</v>
      </c>
      <c r="C2" s="66"/>
      <c r="D2" t="s">
        <v>166</v>
      </c>
      <c r="E2" s="8"/>
      <c r="F2" t="s">
        <v>166</v>
      </c>
      <c r="G2" s="67"/>
      <c r="H2" t="s">
        <v>165</v>
      </c>
      <c r="I2" s="68"/>
      <c r="J2" t="s">
        <v>165</v>
      </c>
      <c r="K2" s="69"/>
      <c r="L2" t="s">
        <v>156</v>
      </c>
    </row>
    <row r="3" spans="1:18" ht="18" customHeight="1" thickBot="1" x14ac:dyDescent="0.25">
      <c r="A3" t="s">
        <v>153</v>
      </c>
    </row>
    <row r="4" spans="1:18" s="6" customFormat="1" ht="18" customHeight="1" thickBot="1" x14ac:dyDescent="0.25">
      <c r="A4" s="5"/>
      <c r="B4" s="241" t="s">
        <v>4</v>
      </c>
      <c r="C4" s="242"/>
      <c r="D4" s="241" t="s">
        <v>121</v>
      </c>
      <c r="E4" s="242"/>
      <c r="F4" s="241" t="s">
        <v>121</v>
      </c>
      <c r="G4" s="242"/>
      <c r="H4" s="241" t="s">
        <v>123</v>
      </c>
      <c r="I4" s="242"/>
      <c r="J4" s="241" t="s">
        <v>3</v>
      </c>
      <c r="K4" s="242"/>
      <c r="L4" s="241" t="s">
        <v>3</v>
      </c>
      <c r="M4" s="242"/>
      <c r="N4" s="5"/>
    </row>
    <row r="5" spans="1:18" s="6" customFormat="1" ht="18" customHeight="1" thickBot="1" x14ac:dyDescent="0.25">
      <c r="A5" s="5" t="s">
        <v>90</v>
      </c>
      <c r="B5" s="241" t="s">
        <v>143</v>
      </c>
      <c r="C5" s="242"/>
      <c r="D5" s="251" t="s">
        <v>144</v>
      </c>
      <c r="E5" s="252"/>
      <c r="F5" s="241" t="s">
        <v>145</v>
      </c>
      <c r="G5" s="242"/>
      <c r="H5" s="241" t="s">
        <v>146</v>
      </c>
      <c r="I5" s="242"/>
      <c r="J5" s="241" t="s">
        <v>147</v>
      </c>
      <c r="K5" s="242"/>
      <c r="L5" s="241" t="s">
        <v>148</v>
      </c>
      <c r="M5" s="242"/>
      <c r="N5" s="5" t="s">
        <v>90</v>
      </c>
    </row>
    <row r="6" spans="1:18" ht="24.95" customHeight="1" thickBot="1" x14ac:dyDescent="0.25">
      <c r="A6" s="70" t="s">
        <v>163</v>
      </c>
      <c r="B6" s="243" t="s">
        <v>5</v>
      </c>
      <c r="C6" s="244"/>
      <c r="D6" s="160" t="str">
        <f>BRMem!B1</f>
        <v>Control.Start</v>
      </c>
      <c r="E6" s="161">
        <v>200</v>
      </c>
      <c r="F6" s="160" t="str">
        <f>BRMem!B13</f>
        <v>MS9Vac1.Trip</v>
      </c>
      <c r="G6" s="161">
        <f>E17+1</f>
        <v>212</v>
      </c>
      <c r="H6" s="162" t="str">
        <f>BRMem!E1</f>
        <v>Control.Buzzer</v>
      </c>
      <c r="I6" s="163">
        <v>600</v>
      </c>
      <c r="J6" s="243" t="s">
        <v>96</v>
      </c>
      <c r="K6" s="244"/>
      <c r="L6" s="243" t="s">
        <v>97</v>
      </c>
      <c r="M6" s="244"/>
      <c r="N6" s="70" t="s">
        <v>163</v>
      </c>
      <c r="R6" s="120"/>
    </row>
    <row r="7" spans="1:18" ht="24.95" customHeight="1" thickBot="1" x14ac:dyDescent="0.25">
      <c r="A7" s="71" t="s">
        <v>164</v>
      </c>
      <c r="B7" s="245"/>
      <c r="C7" s="246"/>
      <c r="D7" s="164" t="str">
        <f>BRMem!B2</f>
        <v>Control.Stop</v>
      </c>
      <c r="E7" s="165">
        <f t="shared" ref="E7:E17" si="0">E6+1</f>
        <v>201</v>
      </c>
      <c r="F7" s="164" t="str">
        <f>BRMem!B14</f>
        <v>MS10Vac2.Trip</v>
      </c>
      <c r="G7" s="165">
        <f t="shared" ref="G7:G17" si="1">G6+1</f>
        <v>213</v>
      </c>
      <c r="H7" s="166" t="str">
        <f>BRMem!E2</f>
        <v>Control.OnLmp1</v>
      </c>
      <c r="I7" s="167">
        <f t="shared" ref="I7:I17" si="2">I6+1</f>
        <v>601</v>
      </c>
      <c r="J7" s="245"/>
      <c r="K7" s="246"/>
      <c r="L7" s="245"/>
      <c r="M7" s="246"/>
      <c r="N7" s="71" t="s">
        <v>164</v>
      </c>
    </row>
    <row r="8" spans="1:18" ht="24.95" customHeight="1" thickBot="1" x14ac:dyDescent="0.25">
      <c r="A8" s="70" t="s">
        <v>135</v>
      </c>
      <c r="B8" s="245"/>
      <c r="C8" s="246"/>
      <c r="D8" s="160" t="str">
        <f>BRMem!B3</f>
        <v>Control.EStop1</v>
      </c>
      <c r="E8" s="168">
        <f t="shared" si="0"/>
        <v>202</v>
      </c>
      <c r="F8" s="160" t="str">
        <f>BRMem!B15</f>
        <v>MS11Vac3.Trip</v>
      </c>
      <c r="G8" s="168">
        <f t="shared" si="1"/>
        <v>214</v>
      </c>
      <c r="H8" s="162">
        <f>BRMem!E3</f>
        <v>0</v>
      </c>
      <c r="I8" s="163">
        <f t="shared" si="2"/>
        <v>602</v>
      </c>
      <c r="J8" s="245"/>
      <c r="K8" s="246"/>
      <c r="L8" s="245"/>
      <c r="M8" s="246"/>
      <c r="N8" s="70" t="s">
        <v>135</v>
      </c>
    </row>
    <row r="9" spans="1:18" ht="24.95" customHeight="1" thickBot="1" x14ac:dyDescent="0.25">
      <c r="A9" s="71" t="s">
        <v>136</v>
      </c>
      <c r="B9" s="245"/>
      <c r="C9" s="246"/>
      <c r="D9" s="164">
        <f>BRMem!B4</f>
        <v>0</v>
      </c>
      <c r="E9" s="165">
        <f t="shared" si="0"/>
        <v>203</v>
      </c>
      <c r="F9" s="164" t="str">
        <f>BRMem!B16</f>
        <v>MS12Vac4.Trip</v>
      </c>
      <c r="G9" s="165">
        <f t="shared" si="1"/>
        <v>215</v>
      </c>
      <c r="H9" s="166">
        <f>BRMem!E4</f>
        <v>0</v>
      </c>
      <c r="I9" s="167">
        <f t="shared" si="2"/>
        <v>603</v>
      </c>
      <c r="J9" s="245"/>
      <c r="K9" s="246"/>
      <c r="L9" s="245"/>
      <c r="M9" s="246"/>
      <c r="N9" s="71" t="s">
        <v>136</v>
      </c>
      <c r="Q9" s="120"/>
    </row>
    <row r="10" spans="1:18" ht="24.95" customHeight="1" thickBot="1" x14ac:dyDescent="0.25">
      <c r="A10" s="70" t="s">
        <v>137</v>
      </c>
      <c r="B10" s="245"/>
      <c r="C10" s="246"/>
      <c r="D10" s="160" t="str">
        <f>BRMem!B5</f>
        <v>MS1Belt1.Trip</v>
      </c>
      <c r="E10" s="168">
        <f t="shared" si="0"/>
        <v>204</v>
      </c>
      <c r="F10" s="160" t="str">
        <f>BRMem!B17</f>
        <v>MS13Water1.Trip</v>
      </c>
      <c r="G10" s="168">
        <f t="shared" si="1"/>
        <v>216</v>
      </c>
      <c r="H10" s="162">
        <f>BRMem!E5</f>
        <v>0</v>
      </c>
      <c r="I10" s="163">
        <f t="shared" si="2"/>
        <v>604</v>
      </c>
      <c r="J10" s="245"/>
      <c r="K10" s="246"/>
      <c r="L10" s="245"/>
      <c r="M10" s="246"/>
      <c r="N10" s="70" t="s">
        <v>137</v>
      </c>
    </row>
    <row r="11" spans="1:18" ht="24.95" customHeight="1" thickBot="1" x14ac:dyDescent="0.25">
      <c r="A11" s="71" t="s">
        <v>138</v>
      </c>
      <c r="B11" s="245"/>
      <c r="C11" s="246"/>
      <c r="D11" s="164" t="str">
        <f>BRMem!B6</f>
        <v>MS2Belt2.Trip</v>
      </c>
      <c r="E11" s="165">
        <f t="shared" si="0"/>
        <v>205</v>
      </c>
      <c r="F11" s="164" t="str">
        <f>BRMem!B18</f>
        <v>MS14Water2.Trip</v>
      </c>
      <c r="G11" s="165">
        <f t="shared" si="1"/>
        <v>217</v>
      </c>
      <c r="H11" s="166">
        <f>BRMem!E6</f>
        <v>0</v>
      </c>
      <c r="I11" s="167">
        <f t="shared" si="2"/>
        <v>605</v>
      </c>
      <c r="J11" s="245"/>
      <c r="K11" s="246"/>
      <c r="L11" s="245"/>
      <c r="M11" s="246"/>
      <c r="N11" s="71" t="s">
        <v>138</v>
      </c>
    </row>
    <row r="12" spans="1:18" ht="24.95" customHeight="1" thickBot="1" x14ac:dyDescent="0.25">
      <c r="A12" s="70" t="s">
        <v>139</v>
      </c>
      <c r="B12" s="245"/>
      <c r="C12" s="246"/>
      <c r="D12" s="160" t="str">
        <f>BRMem!B7</f>
        <v>MS3Belt3.Trip</v>
      </c>
      <c r="E12" s="168">
        <f t="shared" si="0"/>
        <v>206</v>
      </c>
      <c r="F12" s="160">
        <f>BRMem!B19</f>
        <v>0</v>
      </c>
      <c r="G12" s="168">
        <f t="shared" si="1"/>
        <v>218</v>
      </c>
      <c r="H12" s="162">
        <f>BRMem!E7</f>
        <v>0</v>
      </c>
      <c r="I12" s="163">
        <f t="shared" si="2"/>
        <v>606</v>
      </c>
      <c r="J12" s="245"/>
      <c r="K12" s="246"/>
      <c r="L12" s="245"/>
      <c r="M12" s="246"/>
      <c r="N12" s="70" t="s">
        <v>139</v>
      </c>
    </row>
    <row r="13" spans="1:18" ht="24.95" customHeight="1" thickBot="1" x14ac:dyDescent="0.25">
      <c r="A13" s="71" t="s">
        <v>140</v>
      </c>
      <c r="B13" s="245"/>
      <c r="C13" s="246"/>
      <c r="D13" s="164" t="str">
        <f>BRMem!B8</f>
        <v>MS4Belt4.Trip</v>
      </c>
      <c r="E13" s="165">
        <f t="shared" si="0"/>
        <v>207</v>
      </c>
      <c r="F13" s="164">
        <f>BRMem!B20</f>
        <v>0</v>
      </c>
      <c r="G13" s="165">
        <f t="shared" si="1"/>
        <v>219</v>
      </c>
      <c r="H13" s="166" t="str">
        <f>BRMem!E8</f>
        <v>Sol37Spray</v>
      </c>
      <c r="I13" s="167">
        <f t="shared" si="2"/>
        <v>607</v>
      </c>
      <c r="J13" s="245"/>
      <c r="K13" s="246"/>
      <c r="L13" s="245"/>
      <c r="M13" s="246"/>
      <c r="N13" s="71" t="s">
        <v>140</v>
      </c>
    </row>
    <row r="14" spans="1:18" ht="24.95" customHeight="1" thickBot="1" x14ac:dyDescent="0.25">
      <c r="A14" s="70" t="s">
        <v>141</v>
      </c>
      <c r="B14" s="245"/>
      <c r="C14" s="246"/>
      <c r="D14" s="160" t="str">
        <f>BRMem!B9</f>
        <v>MS5Belt5.Trip</v>
      </c>
      <c r="E14" s="168">
        <f t="shared" si="0"/>
        <v>208</v>
      </c>
      <c r="F14" s="160">
        <f>BRMem!B21</f>
        <v>0</v>
      </c>
      <c r="G14" s="168">
        <f t="shared" si="1"/>
        <v>220</v>
      </c>
      <c r="H14" s="162" t="str">
        <f>BRMem!E9</f>
        <v>Sol47Spray</v>
      </c>
      <c r="I14" s="163">
        <f t="shared" si="2"/>
        <v>608</v>
      </c>
      <c r="J14" s="245"/>
      <c r="K14" s="246"/>
      <c r="L14" s="245"/>
      <c r="M14" s="246"/>
      <c r="N14" s="70" t="s">
        <v>141</v>
      </c>
    </row>
    <row r="15" spans="1:18" ht="24.95" customHeight="1" thickBot="1" x14ac:dyDescent="0.25">
      <c r="A15" s="71" t="s">
        <v>161</v>
      </c>
      <c r="B15" s="245"/>
      <c r="C15" s="246"/>
      <c r="D15" s="164" t="str">
        <f>BRMem!B10</f>
        <v>MS6Belt6.Trip</v>
      </c>
      <c r="E15" s="165">
        <f t="shared" si="0"/>
        <v>209</v>
      </c>
      <c r="F15" s="164">
        <f>BRMem!B22</f>
        <v>0</v>
      </c>
      <c r="G15" s="165">
        <f t="shared" si="1"/>
        <v>221</v>
      </c>
      <c r="H15" s="166" t="str">
        <f>BRMem!E10</f>
        <v>Sol53Recirc</v>
      </c>
      <c r="I15" s="167">
        <f t="shared" si="2"/>
        <v>609</v>
      </c>
      <c r="J15" s="245"/>
      <c r="K15" s="246"/>
      <c r="L15" s="245"/>
      <c r="M15" s="246"/>
      <c r="N15" s="71" t="s">
        <v>161</v>
      </c>
    </row>
    <row r="16" spans="1:18" ht="24.95" customHeight="1" thickBot="1" x14ac:dyDescent="0.25">
      <c r="A16" s="70" t="s">
        <v>162</v>
      </c>
      <c r="B16" s="245"/>
      <c r="C16" s="246"/>
      <c r="D16" s="160" t="str">
        <f>BRMem!B11</f>
        <v>MS7Belt7.Trip</v>
      </c>
      <c r="E16" s="168">
        <f t="shared" si="0"/>
        <v>210</v>
      </c>
      <c r="F16" s="160">
        <f>BRMem!B23</f>
        <v>0</v>
      </c>
      <c r="G16" s="168">
        <f t="shared" si="1"/>
        <v>222</v>
      </c>
      <c r="H16" s="162" t="str">
        <f>BRMem!E11</f>
        <v>Sol24DG1B</v>
      </c>
      <c r="I16" s="163">
        <f t="shared" si="2"/>
        <v>610</v>
      </c>
      <c r="J16" s="245"/>
      <c r="K16" s="246"/>
      <c r="L16" s="245"/>
      <c r="M16" s="246"/>
      <c r="N16" s="70" t="s">
        <v>162</v>
      </c>
    </row>
    <row r="17" spans="1:14" ht="24.95" customHeight="1" thickBot="1" x14ac:dyDescent="0.25">
      <c r="A17" s="71" t="s">
        <v>167</v>
      </c>
      <c r="B17" s="245"/>
      <c r="C17" s="246"/>
      <c r="D17" s="169" t="str">
        <f>BRMem!B12</f>
        <v>MS8Belt8.Trip</v>
      </c>
      <c r="E17" s="170">
        <f t="shared" si="0"/>
        <v>211</v>
      </c>
      <c r="F17" s="164" t="str">
        <f>BRMem!B24</f>
        <v>ClearBatch.In</v>
      </c>
      <c r="G17" s="165">
        <f t="shared" si="1"/>
        <v>223</v>
      </c>
      <c r="H17" s="166" t="str">
        <f>BRMem!E12</f>
        <v>Filstar</v>
      </c>
      <c r="I17" s="167">
        <f t="shared" si="2"/>
        <v>611</v>
      </c>
      <c r="J17" s="245"/>
      <c r="K17" s="246"/>
      <c r="L17" s="245"/>
      <c r="M17" s="246"/>
      <c r="N17" s="71" t="s">
        <v>167</v>
      </c>
    </row>
    <row r="18" spans="1:14" ht="24.95" customHeight="1" x14ac:dyDescent="0.2">
      <c r="A18" s="70">
        <v>13</v>
      </c>
      <c r="B18" s="245"/>
      <c r="C18" s="249"/>
      <c r="D18" s="171"/>
      <c r="E18" s="172"/>
      <c r="F18" s="171"/>
      <c r="G18" s="172"/>
      <c r="H18" s="171"/>
      <c r="I18" s="172"/>
      <c r="J18" s="245"/>
      <c r="K18" s="246"/>
      <c r="L18" s="245"/>
      <c r="M18" s="246"/>
      <c r="N18" s="70">
        <v>13</v>
      </c>
    </row>
    <row r="19" spans="1:14" ht="24.95" customHeight="1" x14ac:dyDescent="0.2">
      <c r="A19" s="71">
        <v>14</v>
      </c>
      <c r="B19" s="245"/>
      <c r="C19" s="249"/>
      <c r="D19" s="173"/>
      <c r="E19" s="174"/>
      <c r="F19" s="173"/>
      <c r="G19" s="174"/>
      <c r="H19" s="173"/>
      <c r="I19" s="174"/>
      <c r="J19" s="245"/>
      <c r="K19" s="246"/>
      <c r="L19" s="245"/>
      <c r="M19" s="246"/>
      <c r="N19" s="71">
        <v>14</v>
      </c>
    </row>
    <row r="20" spans="1:14" ht="24.95" customHeight="1" x14ac:dyDescent="0.2">
      <c r="A20" s="70">
        <v>15</v>
      </c>
      <c r="B20" s="245"/>
      <c r="C20" s="249"/>
      <c r="D20" s="173"/>
      <c r="E20" s="174"/>
      <c r="F20" s="173"/>
      <c r="G20" s="174"/>
      <c r="H20" s="173"/>
      <c r="I20" s="174"/>
      <c r="J20" s="245"/>
      <c r="K20" s="246"/>
      <c r="L20" s="245"/>
      <c r="M20" s="246"/>
      <c r="N20" s="70">
        <v>15</v>
      </c>
    </row>
    <row r="21" spans="1:14" ht="24.95" customHeight="1" thickBot="1" x14ac:dyDescent="0.25">
      <c r="A21" s="71">
        <v>16</v>
      </c>
      <c r="B21" s="247"/>
      <c r="C21" s="250"/>
      <c r="D21" s="175"/>
      <c r="E21" s="176"/>
      <c r="F21" s="175"/>
      <c r="G21" s="176"/>
      <c r="H21" s="175"/>
      <c r="I21" s="176"/>
      <c r="J21" s="247"/>
      <c r="K21" s="248"/>
      <c r="L21" s="247"/>
      <c r="M21" s="248"/>
      <c r="N21" s="71">
        <v>16</v>
      </c>
    </row>
    <row r="22" spans="1:14" ht="18" customHeight="1" thickBot="1" x14ac:dyDescent="0.25">
      <c r="A22" s="5" t="s">
        <v>91</v>
      </c>
      <c r="B22" s="241" t="str">
        <f>(B5)</f>
        <v>ST1</v>
      </c>
      <c r="C22" s="242"/>
      <c r="D22" s="239" t="str">
        <f>(D5)</f>
        <v>ST2</v>
      </c>
      <c r="E22" s="240"/>
      <c r="F22" s="241" t="str">
        <f>(F5)</f>
        <v>ST3</v>
      </c>
      <c r="G22" s="242"/>
      <c r="H22" s="241" t="str">
        <f>H5</f>
        <v>ST4</v>
      </c>
      <c r="I22" s="242"/>
      <c r="J22" s="241" t="str">
        <f>J5</f>
        <v>ST5</v>
      </c>
      <c r="K22" s="242"/>
      <c r="L22" s="241" t="str">
        <f>(L5)</f>
        <v>ST6</v>
      </c>
      <c r="M22" s="242"/>
      <c r="N22" s="5" t="s">
        <v>91</v>
      </c>
    </row>
    <row r="23" spans="1:14" ht="18" customHeight="1" x14ac:dyDescent="0.2"/>
    <row r="24" spans="1:14" ht="18" customHeight="1" thickBot="1" x14ac:dyDescent="0.25">
      <c r="A24" t="s">
        <v>153</v>
      </c>
    </row>
    <row r="25" spans="1:14" ht="18" customHeight="1" thickBot="1" x14ac:dyDescent="0.25">
      <c r="A25" s="5"/>
      <c r="B25" s="241" t="s">
        <v>3</v>
      </c>
      <c r="C25" s="242"/>
      <c r="D25" s="241" t="s">
        <v>123</v>
      </c>
      <c r="E25" s="242"/>
      <c r="F25" s="241" t="s">
        <v>778</v>
      </c>
      <c r="G25" s="242"/>
      <c r="H25" s="241"/>
      <c r="I25" s="242"/>
      <c r="J25" s="241"/>
      <c r="K25" s="242"/>
      <c r="L25" s="241"/>
      <c r="M25" s="242"/>
      <c r="N25" s="5"/>
    </row>
    <row r="26" spans="1:14" ht="18" customHeight="1" thickBot="1" x14ac:dyDescent="0.25">
      <c r="A26" s="5" t="s">
        <v>90</v>
      </c>
      <c r="B26" s="241" t="s">
        <v>149</v>
      </c>
      <c r="C26" s="242"/>
      <c r="D26" s="241" t="s">
        <v>150</v>
      </c>
      <c r="E26" s="242"/>
      <c r="F26" s="241" t="s">
        <v>151</v>
      </c>
      <c r="G26" s="242"/>
      <c r="H26" s="241"/>
      <c r="I26" s="242"/>
      <c r="J26" s="241"/>
      <c r="K26" s="242"/>
      <c r="L26" s="241"/>
      <c r="M26" s="242"/>
      <c r="N26" s="5" t="s">
        <v>90</v>
      </c>
    </row>
    <row r="27" spans="1:14" ht="24.95" customHeight="1" thickBot="1" x14ac:dyDescent="0.25">
      <c r="A27" s="70" t="s">
        <v>163</v>
      </c>
      <c r="B27" s="243" t="s">
        <v>97</v>
      </c>
      <c r="C27" s="244"/>
      <c r="D27" s="162" t="str">
        <f>BRMem!E13</f>
        <v>MS1Belt1</v>
      </c>
      <c r="E27" s="177">
        <f>I17+1</f>
        <v>612</v>
      </c>
      <c r="F27" s="243" t="s">
        <v>152</v>
      </c>
      <c r="G27" s="244"/>
      <c r="H27" s="12"/>
      <c r="I27" s="74"/>
      <c r="J27" s="12"/>
      <c r="K27" s="74"/>
      <c r="L27" s="12"/>
      <c r="M27" s="74"/>
      <c r="N27" s="70" t="s">
        <v>163</v>
      </c>
    </row>
    <row r="28" spans="1:14" ht="24.95" customHeight="1" thickBot="1" x14ac:dyDescent="0.25">
      <c r="A28" s="71" t="s">
        <v>164</v>
      </c>
      <c r="B28" s="245"/>
      <c r="C28" s="246"/>
      <c r="D28" s="166" t="str">
        <f>BRMem!E14</f>
        <v>MS2Belt2</v>
      </c>
      <c r="E28" s="178">
        <f t="shared" ref="E28:E42" si="3">E27+1</f>
        <v>613</v>
      </c>
      <c r="F28" s="245"/>
      <c r="G28" s="246"/>
      <c r="H28" s="12"/>
      <c r="I28" s="13"/>
      <c r="J28" s="12"/>
      <c r="K28" s="13"/>
      <c r="L28" s="12"/>
      <c r="M28" s="13"/>
      <c r="N28" s="71" t="s">
        <v>164</v>
      </c>
    </row>
    <row r="29" spans="1:14" ht="24.95" customHeight="1" thickBot="1" x14ac:dyDescent="0.25">
      <c r="A29" s="70" t="s">
        <v>135</v>
      </c>
      <c r="B29" s="245"/>
      <c r="C29" s="246"/>
      <c r="D29" s="162" t="str">
        <f>BRMem!E15</f>
        <v>MS3Belt3</v>
      </c>
      <c r="E29" s="177">
        <f t="shared" si="3"/>
        <v>614</v>
      </c>
      <c r="F29" s="245"/>
      <c r="G29" s="246"/>
      <c r="H29" s="12"/>
      <c r="I29" s="13"/>
      <c r="J29" s="12"/>
      <c r="K29" s="13"/>
      <c r="L29" s="12"/>
      <c r="M29" s="13"/>
      <c r="N29" s="70" t="s">
        <v>135</v>
      </c>
    </row>
    <row r="30" spans="1:14" ht="24.95" customHeight="1" thickBot="1" x14ac:dyDescent="0.25">
      <c r="A30" s="71" t="s">
        <v>136</v>
      </c>
      <c r="B30" s="245"/>
      <c r="C30" s="246"/>
      <c r="D30" s="166" t="str">
        <f>BRMem!E16</f>
        <v>MS4Belt4</v>
      </c>
      <c r="E30" s="178">
        <f t="shared" si="3"/>
        <v>615</v>
      </c>
      <c r="F30" s="245"/>
      <c r="G30" s="246"/>
      <c r="H30" s="12"/>
      <c r="I30" s="13"/>
      <c r="J30" s="12"/>
      <c r="K30" s="13"/>
      <c r="L30" s="12"/>
      <c r="M30" s="13"/>
      <c r="N30" s="71" t="s">
        <v>136</v>
      </c>
    </row>
    <row r="31" spans="1:14" ht="24.95" customHeight="1" thickBot="1" x14ac:dyDescent="0.25">
      <c r="A31" s="70" t="s">
        <v>137</v>
      </c>
      <c r="B31" s="245"/>
      <c r="C31" s="246"/>
      <c r="D31" s="162" t="str">
        <f>BRMem!E17</f>
        <v>MS5Belt5</v>
      </c>
      <c r="E31" s="177">
        <f t="shared" si="3"/>
        <v>616</v>
      </c>
      <c r="F31" s="245"/>
      <c r="G31" s="246"/>
      <c r="H31" s="12"/>
      <c r="I31" s="13"/>
      <c r="J31" s="12"/>
      <c r="K31" s="13"/>
      <c r="L31" s="12"/>
      <c r="M31" s="13"/>
      <c r="N31" s="70" t="s">
        <v>137</v>
      </c>
    </row>
    <row r="32" spans="1:14" ht="24.95" customHeight="1" thickBot="1" x14ac:dyDescent="0.25">
      <c r="A32" s="71" t="s">
        <v>138</v>
      </c>
      <c r="B32" s="245"/>
      <c r="C32" s="246"/>
      <c r="D32" s="166" t="str">
        <f>BRMem!E18</f>
        <v>MS6Belt6</v>
      </c>
      <c r="E32" s="178">
        <f t="shared" si="3"/>
        <v>617</v>
      </c>
      <c r="F32" s="245"/>
      <c r="G32" s="246"/>
      <c r="H32" s="75"/>
      <c r="I32" s="76"/>
      <c r="J32" s="75"/>
      <c r="K32" s="76"/>
      <c r="L32" s="75"/>
      <c r="M32" s="76"/>
      <c r="N32" s="71" t="s">
        <v>138</v>
      </c>
    </row>
    <row r="33" spans="1:18" ht="24.95" customHeight="1" thickBot="1" x14ac:dyDescent="0.25">
      <c r="A33" s="70" t="s">
        <v>139</v>
      </c>
      <c r="B33" s="245"/>
      <c r="C33" s="246"/>
      <c r="D33" s="162" t="str">
        <f>BRMem!E19</f>
        <v>MS7Belt7</v>
      </c>
      <c r="E33" s="177">
        <f t="shared" si="3"/>
        <v>618</v>
      </c>
      <c r="F33" s="245"/>
      <c r="G33" s="246"/>
      <c r="H33" s="12"/>
      <c r="I33" s="74"/>
      <c r="J33" s="12"/>
      <c r="K33" s="74"/>
      <c r="L33" s="12"/>
      <c r="M33" s="74"/>
      <c r="N33" s="70" t="s">
        <v>139</v>
      </c>
    </row>
    <row r="34" spans="1:18" ht="24.95" customHeight="1" thickBot="1" x14ac:dyDescent="0.25">
      <c r="A34" s="71" t="s">
        <v>140</v>
      </c>
      <c r="B34" s="245"/>
      <c r="C34" s="246"/>
      <c r="D34" s="166" t="str">
        <f>BRMem!E20</f>
        <v>MS8Belt8</v>
      </c>
      <c r="E34" s="178">
        <f t="shared" si="3"/>
        <v>619</v>
      </c>
      <c r="F34" s="245"/>
      <c r="G34" s="246"/>
      <c r="H34" s="12"/>
      <c r="I34" s="13"/>
      <c r="J34" s="12"/>
      <c r="K34" s="13"/>
      <c r="L34" s="12"/>
      <c r="M34" s="13"/>
      <c r="N34" s="71" t="s">
        <v>140</v>
      </c>
    </row>
    <row r="35" spans="1:18" ht="24.95" customHeight="1" thickBot="1" x14ac:dyDescent="0.25">
      <c r="A35" s="70" t="s">
        <v>141</v>
      </c>
      <c r="B35" s="245"/>
      <c r="C35" s="246"/>
      <c r="D35" s="162" t="str">
        <f>BRMem!E21</f>
        <v>MS9Vac1</v>
      </c>
      <c r="E35" s="177">
        <f t="shared" si="3"/>
        <v>620</v>
      </c>
      <c r="F35" s="245"/>
      <c r="G35" s="246"/>
      <c r="H35" s="12"/>
      <c r="I35" s="13"/>
      <c r="J35" s="12"/>
      <c r="K35" s="13"/>
      <c r="L35" s="12"/>
      <c r="M35" s="13"/>
      <c r="N35" s="70" t="s">
        <v>141</v>
      </c>
    </row>
    <row r="36" spans="1:18" ht="24.95" customHeight="1" thickBot="1" x14ac:dyDescent="0.25">
      <c r="A36" s="71" t="s">
        <v>161</v>
      </c>
      <c r="B36" s="245"/>
      <c r="C36" s="246"/>
      <c r="D36" s="166" t="str">
        <f>BRMem!E22</f>
        <v>MS10Vac2</v>
      </c>
      <c r="E36" s="178">
        <f t="shared" si="3"/>
        <v>621</v>
      </c>
      <c r="F36" s="245"/>
      <c r="G36" s="246"/>
      <c r="H36" s="12"/>
      <c r="I36" s="13"/>
      <c r="J36" s="12"/>
      <c r="K36" s="13"/>
      <c r="L36" s="12"/>
      <c r="M36" s="13"/>
      <c r="N36" s="71" t="s">
        <v>161</v>
      </c>
    </row>
    <row r="37" spans="1:18" ht="24.95" customHeight="1" thickBot="1" x14ac:dyDescent="0.25">
      <c r="A37" s="70" t="s">
        <v>162</v>
      </c>
      <c r="B37" s="245"/>
      <c r="C37" s="246"/>
      <c r="D37" s="162" t="str">
        <f>BRMem!E23</f>
        <v>MS11Vac3</v>
      </c>
      <c r="E37" s="177">
        <f t="shared" si="3"/>
        <v>622</v>
      </c>
      <c r="F37" s="245"/>
      <c r="G37" s="246"/>
      <c r="H37" s="12"/>
      <c r="I37" s="13"/>
      <c r="J37" s="12"/>
      <c r="K37" s="13"/>
      <c r="L37" s="12"/>
      <c r="M37" s="13"/>
      <c r="N37" s="70" t="s">
        <v>162</v>
      </c>
      <c r="R37" t="s">
        <v>37</v>
      </c>
    </row>
    <row r="38" spans="1:18" ht="24.95" customHeight="1" thickBot="1" x14ac:dyDescent="0.25">
      <c r="A38" s="71" t="s">
        <v>167</v>
      </c>
      <c r="B38" s="245"/>
      <c r="C38" s="246"/>
      <c r="D38" s="166" t="str">
        <f>BRMem!E24</f>
        <v>MS12Vac4</v>
      </c>
      <c r="E38" s="178">
        <f t="shared" si="3"/>
        <v>623</v>
      </c>
      <c r="F38" s="245"/>
      <c r="G38" s="246"/>
      <c r="H38" s="12"/>
      <c r="I38" s="77"/>
      <c r="J38" s="12"/>
      <c r="K38" s="77"/>
      <c r="L38" s="12"/>
      <c r="M38" s="77"/>
      <c r="N38" s="71" t="s">
        <v>167</v>
      </c>
    </row>
    <row r="39" spans="1:18" ht="24.95" customHeight="1" thickBot="1" x14ac:dyDescent="0.25">
      <c r="A39" s="70">
        <v>13</v>
      </c>
      <c r="B39" s="245"/>
      <c r="C39" s="246"/>
      <c r="D39" s="162" t="str">
        <f>BRMem!E25</f>
        <v>MS13Water1</v>
      </c>
      <c r="E39" s="177">
        <f t="shared" si="3"/>
        <v>624</v>
      </c>
      <c r="F39" s="245"/>
      <c r="G39" s="246"/>
      <c r="H39" s="12"/>
      <c r="I39" s="13"/>
      <c r="J39" s="12"/>
      <c r="K39" s="13"/>
      <c r="L39" s="12"/>
      <c r="M39" s="13"/>
      <c r="N39" s="70">
        <v>13</v>
      </c>
    </row>
    <row r="40" spans="1:18" ht="24.95" customHeight="1" thickBot="1" x14ac:dyDescent="0.25">
      <c r="A40" s="71">
        <v>14</v>
      </c>
      <c r="B40" s="245"/>
      <c r="C40" s="246"/>
      <c r="D40" s="166" t="str">
        <f>BRMem!E26</f>
        <v>MS14Water2</v>
      </c>
      <c r="E40" s="178">
        <f t="shared" si="3"/>
        <v>625</v>
      </c>
      <c r="F40" s="245"/>
      <c r="G40" s="246"/>
      <c r="H40" s="12"/>
      <c r="I40" s="77"/>
      <c r="J40" s="12"/>
      <c r="K40" s="77"/>
      <c r="L40" s="12"/>
      <c r="M40" s="77"/>
      <c r="N40" s="71">
        <v>14</v>
      </c>
    </row>
    <row r="41" spans="1:18" ht="24.95" customHeight="1" thickBot="1" x14ac:dyDescent="0.25">
      <c r="A41" s="70">
        <v>15</v>
      </c>
      <c r="B41" s="245"/>
      <c r="C41" s="246"/>
      <c r="D41" s="162">
        <f>BRMem!E27</f>
        <v>0</v>
      </c>
      <c r="E41" s="177">
        <f t="shared" si="3"/>
        <v>626</v>
      </c>
      <c r="F41" s="245"/>
      <c r="G41" s="246"/>
      <c r="H41" s="12"/>
      <c r="I41" s="13"/>
      <c r="J41" s="12"/>
      <c r="K41" s="13"/>
      <c r="L41" s="12"/>
      <c r="M41" s="13"/>
      <c r="N41" s="70">
        <v>15</v>
      </c>
    </row>
    <row r="42" spans="1:18" ht="24.95" customHeight="1" thickBot="1" x14ac:dyDescent="0.25">
      <c r="A42" s="71">
        <v>16</v>
      </c>
      <c r="B42" s="247"/>
      <c r="C42" s="248"/>
      <c r="D42" s="166">
        <f>BRMem!E28</f>
        <v>0</v>
      </c>
      <c r="E42" s="178">
        <f t="shared" si="3"/>
        <v>627</v>
      </c>
      <c r="F42" s="247"/>
      <c r="G42" s="248"/>
      <c r="H42" s="12"/>
      <c r="I42" s="77"/>
      <c r="J42" s="12"/>
      <c r="K42" s="77"/>
      <c r="L42" s="12"/>
      <c r="M42" s="77"/>
      <c r="N42" s="71">
        <v>16</v>
      </c>
    </row>
    <row r="43" spans="1:18" ht="18" customHeight="1" thickBot="1" x14ac:dyDescent="0.25">
      <c r="A43" s="5" t="s">
        <v>91</v>
      </c>
      <c r="B43" s="241" t="str">
        <f>(B26)</f>
        <v>ST7</v>
      </c>
      <c r="C43" s="242"/>
      <c r="D43" s="241" t="str">
        <f>(D26)</f>
        <v>ST8</v>
      </c>
      <c r="E43" s="242"/>
      <c r="F43" s="241" t="str">
        <f>(F26)</f>
        <v>ST9</v>
      </c>
      <c r="G43" s="242"/>
      <c r="H43" s="241"/>
      <c r="I43" s="242"/>
      <c r="J43" s="241"/>
      <c r="K43" s="242"/>
      <c r="L43" s="241"/>
      <c r="M43" s="242"/>
      <c r="N43" s="5" t="s">
        <v>91</v>
      </c>
    </row>
    <row r="44" spans="1:18" ht="18" customHeight="1" x14ac:dyDescent="0.2"/>
    <row r="45" spans="1:18" ht="18" customHeight="1" thickBot="1" x14ac:dyDescent="0.25">
      <c r="A45" t="s">
        <v>154</v>
      </c>
    </row>
    <row r="46" spans="1:18" ht="18" customHeight="1" thickBot="1" x14ac:dyDescent="0.25">
      <c r="A46" s="5"/>
      <c r="B46" s="241" t="s">
        <v>50</v>
      </c>
      <c r="C46" s="242"/>
      <c r="D46" s="241" t="s">
        <v>50</v>
      </c>
      <c r="E46" s="242"/>
      <c r="F46" s="241" t="s">
        <v>1514</v>
      </c>
      <c r="G46" s="242"/>
      <c r="H46" s="241" t="s">
        <v>50</v>
      </c>
      <c r="I46" s="242"/>
      <c r="J46" s="241" t="s">
        <v>50</v>
      </c>
      <c r="K46" s="242"/>
      <c r="L46" s="241" t="s">
        <v>1514</v>
      </c>
      <c r="M46" s="242"/>
      <c r="N46" s="5"/>
    </row>
    <row r="47" spans="1:18" ht="18" customHeight="1" thickBot="1" x14ac:dyDescent="0.25">
      <c r="A47" s="5" t="s">
        <v>90</v>
      </c>
      <c r="B47" s="241" t="str">
        <f>BRMem!G2</f>
        <v>ST10</v>
      </c>
      <c r="C47" s="242"/>
      <c r="D47" s="241" t="str">
        <f>BRMem!G18</f>
        <v>ST11</v>
      </c>
      <c r="E47" s="242"/>
      <c r="F47" s="241" t="str">
        <f>BRMem!G34</f>
        <v>ST12</v>
      </c>
      <c r="G47" s="242"/>
      <c r="H47" s="241" t="str">
        <f>BRMem!G50</f>
        <v>ST13</v>
      </c>
      <c r="I47" s="242"/>
      <c r="J47" s="241" t="str">
        <f>BRMem!G66</f>
        <v>ST14</v>
      </c>
      <c r="K47" s="242"/>
      <c r="L47" s="241" t="str">
        <f>BRMem!G82</f>
        <v>ST15</v>
      </c>
      <c r="M47" s="242"/>
      <c r="N47" s="5" t="s">
        <v>90</v>
      </c>
    </row>
    <row r="48" spans="1:18" ht="24.95" customHeight="1" thickBot="1" x14ac:dyDescent="0.25">
      <c r="A48" s="70" t="s">
        <v>163</v>
      </c>
      <c r="B48" s="179" t="str">
        <f>BRMem!H1</f>
        <v>S45Foot.In</v>
      </c>
      <c r="C48" s="168">
        <v>224</v>
      </c>
      <c r="D48" s="179" t="str">
        <f>BRMem!H17</f>
        <v>S81Photo.In</v>
      </c>
      <c r="E48" s="168">
        <f>C63+1</f>
        <v>240</v>
      </c>
      <c r="F48" s="179" t="str">
        <f>BRMem!H33</f>
        <v>Servo1POT</v>
      </c>
      <c r="G48" s="168">
        <f>E63+1</f>
        <v>256</v>
      </c>
      <c r="H48" s="179" t="str">
        <f>BRMem!H49</f>
        <v>S4Photo.In</v>
      </c>
      <c r="I48" s="168">
        <f>G63+1</f>
        <v>272</v>
      </c>
      <c r="J48" s="162" t="str">
        <f>BRMem!H65</f>
        <v>Sol10Blt5</v>
      </c>
      <c r="K48" s="180">
        <f>I63+1</f>
        <v>288</v>
      </c>
      <c r="L48" s="179" t="str">
        <f>BRMem!H81</f>
        <v>Servo2POT</v>
      </c>
      <c r="M48" s="168">
        <f>K63+1</f>
        <v>304</v>
      </c>
      <c r="N48" s="70" t="s">
        <v>163</v>
      </c>
    </row>
    <row r="49" spans="1:14" ht="24.95" customHeight="1" thickBot="1" x14ac:dyDescent="0.25">
      <c r="A49" s="71" t="s">
        <v>164</v>
      </c>
      <c r="B49" s="181" t="str">
        <f>BRMem!H2</f>
        <v>S1Photo.In</v>
      </c>
      <c r="C49" s="165">
        <f t="shared" ref="C49:C63" si="4">C48+1</f>
        <v>225</v>
      </c>
      <c r="D49" s="181" t="str">
        <f>BRMem!H18</f>
        <v>S82Photo.In</v>
      </c>
      <c r="E49" s="165">
        <f t="shared" ref="E49:E63" si="5">E48+1</f>
        <v>241</v>
      </c>
      <c r="F49" s="181" t="str">
        <f>BRMem!H34</f>
        <v>Servo1NOT</v>
      </c>
      <c r="G49" s="165">
        <f t="shared" ref="G49:G55" si="6">G48+1</f>
        <v>257</v>
      </c>
      <c r="H49" s="181" t="str">
        <f>BRMem!H50</f>
        <v>S5Photo.In</v>
      </c>
      <c r="I49" s="165">
        <f t="shared" ref="I49:K63" si="7">I48+1</f>
        <v>273</v>
      </c>
      <c r="J49" s="166" t="str">
        <f>BRMem!H66</f>
        <v>Sol11Blt6</v>
      </c>
      <c r="K49" s="182">
        <f t="shared" si="7"/>
        <v>289</v>
      </c>
      <c r="L49" s="181" t="str">
        <f>BRMem!H82</f>
        <v>Servo2NOT</v>
      </c>
      <c r="M49" s="165">
        <f t="shared" ref="M49" si="8">M48+1</f>
        <v>305</v>
      </c>
      <c r="N49" s="71" t="s">
        <v>164</v>
      </c>
    </row>
    <row r="50" spans="1:14" ht="24.95" customHeight="1" thickBot="1" x14ac:dyDescent="0.25">
      <c r="A50" s="70" t="s">
        <v>135</v>
      </c>
      <c r="B50" s="179" t="str">
        <f>BRMem!H3</f>
        <v>S2Photo.In</v>
      </c>
      <c r="C50" s="168">
        <f t="shared" si="4"/>
        <v>226</v>
      </c>
      <c r="D50" s="179" t="str">
        <f>BRMem!H19</f>
        <v>S83Photo.In</v>
      </c>
      <c r="E50" s="168">
        <f t="shared" si="5"/>
        <v>242</v>
      </c>
      <c r="F50" s="179" t="str">
        <f>BRMem!H35</f>
        <v>S80Origin.In</v>
      </c>
      <c r="G50" s="168">
        <f t="shared" si="6"/>
        <v>258</v>
      </c>
      <c r="H50" s="179" t="str">
        <f>BRMem!H51</f>
        <v>S6Photo.In</v>
      </c>
      <c r="I50" s="168">
        <f t="shared" si="7"/>
        <v>274</v>
      </c>
      <c r="J50" s="162" t="str">
        <f>BRMem!H67</f>
        <v>Sol14Arm6</v>
      </c>
      <c r="K50" s="180">
        <f t="shared" ref="K50:M62" si="9">K49+1</f>
        <v>290</v>
      </c>
      <c r="L50" s="179" t="str">
        <f>BRMem!H83</f>
        <v>S90Origin.In</v>
      </c>
      <c r="M50" s="168">
        <f t="shared" si="9"/>
        <v>306</v>
      </c>
      <c r="N50" s="70" t="s">
        <v>135</v>
      </c>
    </row>
    <row r="51" spans="1:14" ht="24.95" customHeight="1" thickBot="1" x14ac:dyDescent="0.25">
      <c r="A51" s="71" t="s">
        <v>136</v>
      </c>
      <c r="B51" s="181" t="str">
        <f>BRMem!H4</f>
        <v>S56Lever.In</v>
      </c>
      <c r="C51" s="165">
        <f t="shared" si="4"/>
        <v>227</v>
      </c>
      <c r="D51" s="181" t="str">
        <f>BRMem!H20</f>
        <v>S84Photo.In</v>
      </c>
      <c r="E51" s="165">
        <f t="shared" si="5"/>
        <v>243</v>
      </c>
      <c r="F51" s="181" t="str">
        <f>BRMem!H36</f>
        <v>S101Reed.In</v>
      </c>
      <c r="G51" s="165">
        <f t="shared" si="6"/>
        <v>259</v>
      </c>
      <c r="H51" s="181" t="str">
        <f>BRMem!H52</f>
        <v>S9Photo.In</v>
      </c>
      <c r="I51" s="165">
        <f t="shared" si="7"/>
        <v>275</v>
      </c>
      <c r="J51" s="166" t="str">
        <f>BRMem!H68</f>
        <v>Sol15Arm7</v>
      </c>
      <c r="K51" s="182">
        <f t="shared" ref="K51:M63" si="10">K50+1</f>
        <v>291</v>
      </c>
      <c r="L51" s="181" t="str">
        <f>BRMem!H84</f>
        <v>S12Photo.In</v>
      </c>
      <c r="M51" s="165">
        <f t="shared" si="10"/>
        <v>307</v>
      </c>
      <c r="N51" s="71" t="s">
        <v>136</v>
      </c>
    </row>
    <row r="52" spans="1:14" ht="24.95" customHeight="1" thickBot="1" x14ac:dyDescent="0.25">
      <c r="A52" s="70" t="s">
        <v>137</v>
      </c>
      <c r="B52" s="179" t="str">
        <f>BRMem!H5</f>
        <v>S30Reed.In</v>
      </c>
      <c r="C52" s="168">
        <f t="shared" si="4"/>
        <v>228</v>
      </c>
      <c r="D52" s="162" t="str">
        <f>BRMem!H21</f>
        <v>Sol3Blt3</v>
      </c>
      <c r="E52" s="180">
        <f t="shared" si="5"/>
        <v>244</v>
      </c>
      <c r="F52" s="179" t="str">
        <f>BRMem!H37</f>
        <v>S104Reed.In</v>
      </c>
      <c r="G52" s="168">
        <f t="shared" si="6"/>
        <v>260</v>
      </c>
      <c r="H52" s="179" t="str">
        <f>BRMem!H53</f>
        <v>S32Reed.In</v>
      </c>
      <c r="I52" s="168">
        <f t="shared" si="7"/>
        <v>276</v>
      </c>
      <c r="J52" s="162" t="str">
        <f>BRMem!H69</f>
        <v>Sol22DT3</v>
      </c>
      <c r="K52" s="180">
        <f t="shared" ref="K52" si="11">K51+1</f>
        <v>292</v>
      </c>
      <c r="L52" s="179" t="str">
        <f>BRMem!H85</f>
        <v>S13Photo.In</v>
      </c>
      <c r="M52" s="168">
        <f t="shared" si="9"/>
        <v>308</v>
      </c>
      <c r="N52" s="70" t="s">
        <v>137</v>
      </c>
    </row>
    <row r="53" spans="1:14" ht="24.95" customHeight="1" thickBot="1" x14ac:dyDescent="0.25">
      <c r="A53" s="71" t="s">
        <v>138</v>
      </c>
      <c r="B53" s="181" t="str">
        <f>BRMem!H6</f>
        <v>S31Reed.In</v>
      </c>
      <c r="C53" s="165">
        <f t="shared" si="4"/>
        <v>229</v>
      </c>
      <c r="D53" s="166" t="str">
        <f>BRMem!H22</f>
        <v>Sol4Blt4</v>
      </c>
      <c r="E53" s="182">
        <f t="shared" si="5"/>
        <v>245</v>
      </c>
      <c r="F53" s="181" t="str">
        <f>BRMem!H38</f>
        <v>S105Reed.In</v>
      </c>
      <c r="G53" s="165">
        <f t="shared" si="6"/>
        <v>261</v>
      </c>
      <c r="H53" s="181" t="str">
        <f>BRMem!H54</f>
        <v>S33Reed.In</v>
      </c>
      <c r="I53" s="165">
        <f t="shared" si="7"/>
        <v>277</v>
      </c>
      <c r="J53" s="181" t="str">
        <f>BRMem!H70</f>
        <v>S7Photo.In</v>
      </c>
      <c r="K53" s="165">
        <f t="shared" ref="K53" si="12">K52+1</f>
        <v>293</v>
      </c>
      <c r="L53" s="181" t="str">
        <f>BRMem!H86</f>
        <v>S34Reed.In</v>
      </c>
      <c r="M53" s="165">
        <f t="shared" si="10"/>
        <v>309</v>
      </c>
      <c r="N53" s="71" t="s">
        <v>138</v>
      </c>
    </row>
    <row r="54" spans="1:14" ht="24.95" customHeight="1" thickBot="1" x14ac:dyDescent="0.25">
      <c r="A54" s="70" t="s">
        <v>139</v>
      </c>
      <c r="B54" s="179" t="str">
        <f>BRMem!H7</f>
        <v>LaserBusy</v>
      </c>
      <c r="C54" s="168">
        <f t="shared" si="4"/>
        <v>230</v>
      </c>
      <c r="D54" s="162" t="str">
        <f>BRMem!H23</f>
        <v>Sol21DT2</v>
      </c>
      <c r="E54" s="180">
        <f t="shared" si="5"/>
        <v>246</v>
      </c>
      <c r="F54" s="179" t="str">
        <f>BRMem!H39</f>
        <v>S106Reed.In</v>
      </c>
      <c r="G54" s="168">
        <f t="shared" si="6"/>
        <v>262</v>
      </c>
      <c r="H54" s="179" t="str">
        <f>BRMem!H55</f>
        <v>S50Reed.In</v>
      </c>
      <c r="I54" s="168">
        <f t="shared" si="7"/>
        <v>278</v>
      </c>
      <c r="J54" s="179" t="str">
        <f>BRMem!H71</f>
        <v>S64Float.In</v>
      </c>
      <c r="K54" s="168">
        <f t="shared" ref="K54" si="13">K53+1</f>
        <v>294</v>
      </c>
      <c r="L54" s="179" t="str">
        <f>BRMem!H87</f>
        <v>S35Reed.In</v>
      </c>
      <c r="M54" s="168">
        <f t="shared" si="9"/>
        <v>310</v>
      </c>
      <c r="N54" s="70" t="s">
        <v>139</v>
      </c>
    </row>
    <row r="55" spans="1:14" ht="24.95" customHeight="1" thickBot="1" x14ac:dyDescent="0.25">
      <c r="A55" s="71" t="s">
        <v>140</v>
      </c>
      <c r="B55" s="166" t="str">
        <f>BRMem!H8</f>
        <v>LaserFire</v>
      </c>
      <c r="C55" s="182">
        <f t="shared" si="4"/>
        <v>231</v>
      </c>
      <c r="D55" s="181" t="str">
        <f>BRMem!H24</f>
        <v>S3Photo.In</v>
      </c>
      <c r="E55" s="165">
        <f t="shared" si="5"/>
        <v>247</v>
      </c>
      <c r="F55" s="181" t="str">
        <f>BRMem!H40</f>
        <v>S107Reed.In</v>
      </c>
      <c r="G55" s="165">
        <f t="shared" si="6"/>
        <v>263</v>
      </c>
      <c r="H55" s="181" t="str">
        <f>BRMem!H56</f>
        <v>S102Reed.In</v>
      </c>
      <c r="I55" s="165">
        <f t="shared" si="7"/>
        <v>279</v>
      </c>
      <c r="J55" s="181" t="str">
        <f>BRMem!H72</f>
        <v>S65Float.In</v>
      </c>
      <c r="K55" s="165">
        <f t="shared" ref="K55" si="14">K54+1</f>
        <v>295</v>
      </c>
      <c r="L55" s="181">
        <f>BRMem!H88</f>
        <v>0</v>
      </c>
      <c r="M55" s="165">
        <f t="shared" si="10"/>
        <v>311</v>
      </c>
      <c r="N55" s="71" t="s">
        <v>140</v>
      </c>
    </row>
    <row r="56" spans="1:14" ht="24.95" customHeight="1" thickBot="1" x14ac:dyDescent="0.25">
      <c r="A56" s="70" t="s">
        <v>141</v>
      </c>
      <c r="B56" s="179" t="str">
        <f>BRMem!H9</f>
        <v>S100Reed.In</v>
      </c>
      <c r="C56" s="168">
        <f t="shared" si="4"/>
        <v>232</v>
      </c>
      <c r="D56" s="213">
        <f>BRMem!H25</f>
        <v>0</v>
      </c>
      <c r="E56" s="214">
        <f t="shared" si="5"/>
        <v>248</v>
      </c>
      <c r="F56" s="179" t="str">
        <f>BRMem!H41</f>
        <v>S108Reed.In</v>
      </c>
      <c r="G56" s="168">
        <f>G55+1</f>
        <v>264</v>
      </c>
      <c r="H56" s="179" t="str">
        <f>BRMem!H57</f>
        <v>S103Reed.In</v>
      </c>
      <c r="I56" s="168">
        <f t="shared" si="7"/>
        <v>280</v>
      </c>
      <c r="J56" s="213">
        <f>BRMem!H73</f>
        <v>0</v>
      </c>
      <c r="K56" s="214">
        <f t="shared" ref="K56" si="15">K55+1</f>
        <v>296</v>
      </c>
      <c r="L56" s="179" t="str">
        <f>BRMem!H89</f>
        <v>S120Reed.In</v>
      </c>
      <c r="M56" s="168">
        <f t="shared" si="9"/>
        <v>312</v>
      </c>
      <c r="N56" s="70" t="s">
        <v>141</v>
      </c>
    </row>
    <row r="57" spans="1:14" ht="24.95" customHeight="1" thickBot="1" x14ac:dyDescent="0.25">
      <c r="A57" s="71" t="s">
        <v>161</v>
      </c>
      <c r="B57" s="166" t="str">
        <f>BRMem!H10</f>
        <v>Sol1Blt1</v>
      </c>
      <c r="C57" s="182">
        <f t="shared" si="4"/>
        <v>233</v>
      </c>
      <c r="D57" s="217">
        <f>BRMem!H26</f>
        <v>0</v>
      </c>
      <c r="E57" s="218">
        <f t="shared" si="5"/>
        <v>249</v>
      </c>
      <c r="F57" s="181" t="str">
        <f>BRMem!H42</f>
        <v>S109Reed.In</v>
      </c>
      <c r="G57" s="165">
        <f>G56+1</f>
        <v>265</v>
      </c>
      <c r="H57" s="166" t="str">
        <f>BRMem!H58</f>
        <v>Sol30Pal1</v>
      </c>
      <c r="I57" s="182">
        <f t="shared" si="7"/>
        <v>281</v>
      </c>
      <c r="J57" s="217">
        <f>BRMem!H74</f>
        <v>0</v>
      </c>
      <c r="K57" s="218">
        <f t="shared" ref="K57" si="16">K56+1</f>
        <v>297</v>
      </c>
      <c r="L57" s="181" t="str">
        <f>BRMem!H90</f>
        <v>S121Reed.In</v>
      </c>
      <c r="M57" s="165">
        <f t="shared" si="10"/>
        <v>313</v>
      </c>
      <c r="N57" s="71" t="s">
        <v>161</v>
      </c>
    </row>
    <row r="58" spans="1:14" ht="24.95" customHeight="1" thickBot="1" x14ac:dyDescent="0.25">
      <c r="A58" s="70" t="s">
        <v>162</v>
      </c>
      <c r="B58" s="162" t="str">
        <f>BRMem!H11</f>
        <v>Sol2Blt2</v>
      </c>
      <c r="C58" s="180">
        <f t="shared" si="4"/>
        <v>234</v>
      </c>
      <c r="D58" s="213">
        <f>BRMem!H27</f>
        <v>0</v>
      </c>
      <c r="E58" s="214">
        <f t="shared" si="5"/>
        <v>250</v>
      </c>
      <c r="F58" s="179" t="str">
        <f>BRMem!H43</f>
        <v>S110Reed.In</v>
      </c>
      <c r="G58" s="168">
        <f t="shared" ref="G58:G63" si="17">G57+1</f>
        <v>266</v>
      </c>
      <c r="H58" s="162" t="str">
        <f>BRMem!H59</f>
        <v>Sol31Pal2</v>
      </c>
      <c r="I58" s="180">
        <f t="shared" si="7"/>
        <v>282</v>
      </c>
      <c r="J58" s="213">
        <f>BRMem!H75</f>
        <v>0</v>
      </c>
      <c r="K58" s="214">
        <f t="shared" ref="K58" si="18">K57+1</f>
        <v>298</v>
      </c>
      <c r="L58" s="179" t="str">
        <f>BRMem!H91</f>
        <v>S122Reed.In</v>
      </c>
      <c r="M58" s="168">
        <f t="shared" si="9"/>
        <v>314</v>
      </c>
      <c r="N58" s="70" t="s">
        <v>162</v>
      </c>
    </row>
    <row r="59" spans="1:14" ht="24.95" customHeight="1" thickBot="1" x14ac:dyDescent="0.25">
      <c r="A59" s="71" t="s">
        <v>167</v>
      </c>
      <c r="B59" s="166" t="str">
        <f>BRMem!H12</f>
        <v>Sol5Arm1</v>
      </c>
      <c r="C59" s="182">
        <f t="shared" si="4"/>
        <v>235</v>
      </c>
      <c r="D59" s="219">
        <f>BRMem!H28</f>
        <v>0</v>
      </c>
      <c r="E59" s="220">
        <f t="shared" si="5"/>
        <v>251</v>
      </c>
      <c r="F59" s="181" t="str">
        <f>BRMem!H44</f>
        <v>S111Reed.In</v>
      </c>
      <c r="G59" s="165">
        <f t="shared" si="17"/>
        <v>267</v>
      </c>
      <c r="H59" s="166" t="str">
        <f>BRMem!H60</f>
        <v>Sol32Pal3</v>
      </c>
      <c r="I59" s="182">
        <f t="shared" si="7"/>
        <v>283</v>
      </c>
      <c r="J59" s="219">
        <f>BRMem!H76</f>
        <v>0</v>
      </c>
      <c r="K59" s="220">
        <f t="shared" ref="K59" si="19">K58+1</f>
        <v>299</v>
      </c>
      <c r="L59" s="181" t="str">
        <f>BRMem!H92</f>
        <v>S123Reed.In</v>
      </c>
      <c r="M59" s="165">
        <f t="shared" si="10"/>
        <v>315</v>
      </c>
      <c r="N59" s="71" t="s">
        <v>167</v>
      </c>
    </row>
    <row r="60" spans="1:14" ht="24.95" customHeight="1" thickBot="1" x14ac:dyDescent="0.25">
      <c r="A60" s="70">
        <v>13</v>
      </c>
      <c r="B60" s="162" t="str">
        <f>BRMem!H13</f>
        <v>Sol6Arm2</v>
      </c>
      <c r="C60" s="180">
        <f t="shared" si="4"/>
        <v>236</v>
      </c>
      <c r="D60" s="215">
        <f>BRMem!H29</f>
        <v>0</v>
      </c>
      <c r="E60" s="216">
        <f t="shared" si="5"/>
        <v>252</v>
      </c>
      <c r="F60" s="179" t="str">
        <f>BRMem!H45</f>
        <v>S112Reed.In</v>
      </c>
      <c r="G60" s="168">
        <f t="shared" si="17"/>
        <v>268</v>
      </c>
      <c r="H60" s="162" t="str">
        <f>BRMem!H61</f>
        <v>Sol33Pal4</v>
      </c>
      <c r="I60" s="180">
        <f t="shared" si="7"/>
        <v>284</v>
      </c>
      <c r="J60" s="215">
        <f>BRMem!H77</f>
        <v>0</v>
      </c>
      <c r="K60" s="216">
        <f t="shared" ref="K60" si="20">K59+1</f>
        <v>300</v>
      </c>
      <c r="L60" s="179" t="str">
        <f>BRMem!H93</f>
        <v>S124Reed.In</v>
      </c>
      <c r="M60" s="168">
        <f t="shared" si="9"/>
        <v>316</v>
      </c>
      <c r="N60" s="70">
        <v>13</v>
      </c>
    </row>
    <row r="61" spans="1:14" ht="24.95" customHeight="1" thickBot="1" x14ac:dyDescent="0.25">
      <c r="A61" s="71">
        <v>14</v>
      </c>
      <c r="B61" s="166" t="str">
        <f>BRMem!H14</f>
        <v>Sol7Arm3</v>
      </c>
      <c r="C61" s="182">
        <f t="shared" si="4"/>
        <v>237</v>
      </c>
      <c r="D61" s="219">
        <f>BRMem!H30</f>
        <v>0</v>
      </c>
      <c r="E61" s="220">
        <f t="shared" si="5"/>
        <v>253</v>
      </c>
      <c r="F61" s="181" t="str">
        <f>BRMem!H46</f>
        <v>S113Reed.In</v>
      </c>
      <c r="G61" s="165">
        <f t="shared" si="17"/>
        <v>269</v>
      </c>
      <c r="H61" s="166" t="str">
        <f>BRMem!H62</f>
        <v>Sol24DG1</v>
      </c>
      <c r="I61" s="182">
        <f t="shared" si="7"/>
        <v>285</v>
      </c>
      <c r="J61" s="219">
        <f>BRMem!H78</f>
        <v>0</v>
      </c>
      <c r="K61" s="220">
        <f t="shared" ref="K61" si="21">K60+1</f>
        <v>301</v>
      </c>
      <c r="L61" s="181" t="str">
        <f>BRMem!H94</f>
        <v>S125Reed.In</v>
      </c>
      <c r="M61" s="165">
        <f t="shared" si="10"/>
        <v>317</v>
      </c>
      <c r="N61" s="71">
        <v>14</v>
      </c>
    </row>
    <row r="62" spans="1:14" ht="24.95" customHeight="1" thickBot="1" x14ac:dyDescent="0.25">
      <c r="A62" s="70">
        <v>15</v>
      </c>
      <c r="B62" s="162" t="str">
        <f>BRMem!H15</f>
        <v>Sol8Arm4</v>
      </c>
      <c r="C62" s="180">
        <f t="shared" si="4"/>
        <v>238</v>
      </c>
      <c r="D62" s="215">
        <f>BRMem!H31</f>
        <v>0</v>
      </c>
      <c r="E62" s="216">
        <f t="shared" si="5"/>
        <v>254</v>
      </c>
      <c r="F62" s="179" t="str">
        <f>BRMem!H47</f>
        <v>S114Reed.In</v>
      </c>
      <c r="G62" s="168">
        <f t="shared" si="17"/>
        <v>270</v>
      </c>
      <c r="H62" s="162" t="str">
        <f>BRMem!H63</f>
        <v>Sol35Laser</v>
      </c>
      <c r="I62" s="180">
        <f t="shared" si="7"/>
        <v>286</v>
      </c>
      <c r="J62" s="215">
        <f>BRMem!H79</f>
        <v>0</v>
      </c>
      <c r="K62" s="216">
        <f t="shared" ref="K62" si="22">K61+1</f>
        <v>302</v>
      </c>
      <c r="L62" s="179" t="str">
        <f>BRMem!H95</f>
        <v>S126Reed.In</v>
      </c>
      <c r="M62" s="168">
        <f t="shared" si="9"/>
        <v>318</v>
      </c>
      <c r="N62" s="70">
        <v>15</v>
      </c>
    </row>
    <row r="63" spans="1:14" ht="24.95" customHeight="1" thickBot="1" x14ac:dyDescent="0.25">
      <c r="A63" s="71">
        <v>16</v>
      </c>
      <c r="B63" s="166" t="str">
        <f>BRMem!H16</f>
        <v>Sol20DT1</v>
      </c>
      <c r="C63" s="182">
        <f t="shared" si="4"/>
        <v>239</v>
      </c>
      <c r="D63" s="219">
        <f>BRMem!H32</f>
        <v>0</v>
      </c>
      <c r="E63" s="220">
        <f t="shared" si="5"/>
        <v>255</v>
      </c>
      <c r="F63" s="181" t="str">
        <f>BRMem!H48</f>
        <v>S115Reed.In</v>
      </c>
      <c r="G63" s="165">
        <f t="shared" si="17"/>
        <v>271</v>
      </c>
      <c r="H63" s="166" t="str">
        <f>BRMem!H64</f>
        <v>Sol19Pump</v>
      </c>
      <c r="I63" s="182">
        <f t="shared" si="7"/>
        <v>287</v>
      </c>
      <c r="J63" s="219">
        <f>BRMem!H80</f>
        <v>0</v>
      </c>
      <c r="K63" s="220">
        <f t="shared" ref="K63" si="23">K62+1</f>
        <v>303</v>
      </c>
      <c r="L63" s="181" t="str">
        <f>BRMem!H96</f>
        <v>S127Reed.In</v>
      </c>
      <c r="M63" s="165">
        <f t="shared" si="10"/>
        <v>319</v>
      </c>
      <c r="N63" s="71">
        <v>16</v>
      </c>
    </row>
    <row r="64" spans="1:14" ht="18" customHeight="1" thickBot="1" x14ac:dyDescent="0.25">
      <c r="A64" s="5" t="s">
        <v>91</v>
      </c>
      <c r="B64" s="239" t="str">
        <f>B47</f>
        <v>ST10</v>
      </c>
      <c r="C64" s="240"/>
      <c r="D64" s="239" t="str">
        <f>D47</f>
        <v>ST11</v>
      </c>
      <c r="E64" s="240"/>
      <c r="F64" s="239" t="str">
        <f>F47</f>
        <v>ST12</v>
      </c>
      <c r="G64" s="240"/>
      <c r="H64" s="239" t="str">
        <f>H47</f>
        <v>ST13</v>
      </c>
      <c r="I64" s="240"/>
      <c r="J64" s="239" t="str">
        <f>J47</f>
        <v>ST14</v>
      </c>
      <c r="K64" s="240"/>
      <c r="L64" s="239" t="str">
        <f>L47</f>
        <v>ST15</v>
      </c>
      <c r="M64" s="240"/>
      <c r="N64" s="5" t="s">
        <v>91</v>
      </c>
    </row>
    <row r="66" spans="1:14" ht="18" customHeight="1" thickBot="1" x14ac:dyDescent="0.25">
      <c r="A66" t="s">
        <v>154</v>
      </c>
    </row>
    <row r="67" spans="1:14" ht="18" customHeight="1" thickBot="1" x14ac:dyDescent="0.25">
      <c r="A67" s="5"/>
      <c r="B67" s="241" t="s">
        <v>50</v>
      </c>
      <c r="C67" s="242"/>
      <c r="D67" s="241" t="s">
        <v>1514</v>
      </c>
      <c r="E67" s="242"/>
      <c r="F67" s="241" t="s">
        <v>50</v>
      </c>
      <c r="G67" s="242"/>
      <c r="H67" s="241"/>
      <c r="I67" s="242"/>
      <c r="J67" s="241"/>
      <c r="K67" s="242"/>
      <c r="L67" s="241"/>
      <c r="M67" s="242"/>
      <c r="N67" s="5"/>
    </row>
    <row r="68" spans="1:14" ht="18" customHeight="1" thickBot="1" x14ac:dyDescent="0.25">
      <c r="A68" s="5" t="s">
        <v>90</v>
      </c>
      <c r="B68" s="241" t="str">
        <f>BRMem!G98</f>
        <v>ST16</v>
      </c>
      <c r="C68" s="242"/>
      <c r="D68" s="241" t="str">
        <f>BRMem!G114</f>
        <v>ST17</v>
      </c>
      <c r="E68" s="242"/>
      <c r="F68" s="241" t="str">
        <f>BRMem!G130</f>
        <v>ST18</v>
      </c>
      <c r="G68" s="242"/>
      <c r="H68" s="241"/>
      <c r="I68" s="242"/>
      <c r="J68" s="241"/>
      <c r="K68" s="242"/>
      <c r="L68" s="241"/>
      <c r="M68" s="242"/>
      <c r="N68" s="5" t="s">
        <v>90</v>
      </c>
    </row>
    <row r="69" spans="1:14" ht="24.95" customHeight="1" thickBot="1" x14ac:dyDescent="0.25">
      <c r="A69" s="70" t="s">
        <v>163</v>
      </c>
      <c r="B69" s="179" t="str">
        <f>BRMem!H97</f>
        <v>S91Photo.In</v>
      </c>
      <c r="C69" s="168">
        <f>M63+1</f>
        <v>320</v>
      </c>
      <c r="D69" s="179" t="str">
        <f>BRMem!H113</f>
        <v>S14Photo.In</v>
      </c>
      <c r="E69" s="168">
        <f>C84+1</f>
        <v>336</v>
      </c>
      <c r="F69" s="179" t="str">
        <f>BRMem!H129</f>
        <v>S19Photo.In</v>
      </c>
      <c r="G69" s="168">
        <f>E84+1</f>
        <v>352</v>
      </c>
      <c r="H69" s="119"/>
      <c r="I69" s="9"/>
      <c r="J69" s="119"/>
      <c r="K69" s="9"/>
      <c r="L69" s="119"/>
      <c r="M69" s="9"/>
      <c r="N69" s="70" t="s">
        <v>163</v>
      </c>
    </row>
    <row r="70" spans="1:14" ht="24.95" customHeight="1" thickBot="1" x14ac:dyDescent="0.25">
      <c r="A70" s="71" t="s">
        <v>164</v>
      </c>
      <c r="B70" s="181" t="str">
        <f>BRMem!H98</f>
        <v>S92Photo.In</v>
      </c>
      <c r="C70" s="165">
        <f t="shared" ref="C70" si="24">C69+1</f>
        <v>321</v>
      </c>
      <c r="D70" s="181" t="str">
        <f>BRMem!H114</f>
        <v>S15Photo.In</v>
      </c>
      <c r="E70" s="165">
        <f t="shared" ref="E70" si="25">E69+1</f>
        <v>337</v>
      </c>
      <c r="F70" s="181">
        <f>BRMem!H130</f>
        <v>0</v>
      </c>
      <c r="G70" s="165">
        <f t="shared" ref="G70" si="26">G69+1</f>
        <v>353</v>
      </c>
      <c r="H70" s="12"/>
      <c r="I70" s="13"/>
      <c r="J70" s="12"/>
      <c r="K70" s="13"/>
      <c r="L70" s="12"/>
      <c r="M70" s="13"/>
      <c r="N70" s="71" t="s">
        <v>164</v>
      </c>
    </row>
    <row r="71" spans="1:14" ht="24.95" customHeight="1" thickBot="1" x14ac:dyDescent="0.25">
      <c r="A71" s="70" t="s">
        <v>135</v>
      </c>
      <c r="B71" s="179" t="str">
        <f>BRMem!H99</f>
        <v>S93Photo.In</v>
      </c>
      <c r="C71" s="168">
        <f t="shared" ref="C71" si="27">C70+1</f>
        <v>322</v>
      </c>
      <c r="D71" s="179" t="str">
        <f>BRMem!H115</f>
        <v>S16Photo.In</v>
      </c>
      <c r="E71" s="168">
        <f t="shared" ref="E71" si="28">E70+1</f>
        <v>338</v>
      </c>
      <c r="F71" s="179">
        <f>BRMem!H131</f>
        <v>0</v>
      </c>
      <c r="G71" s="168">
        <f t="shared" ref="G71" si="29">G70+1</f>
        <v>354</v>
      </c>
      <c r="H71" s="119"/>
      <c r="I71" s="9"/>
      <c r="J71" s="119"/>
      <c r="K71" s="9"/>
      <c r="L71" s="119"/>
      <c r="M71" s="9"/>
      <c r="N71" s="70" t="s">
        <v>135</v>
      </c>
    </row>
    <row r="72" spans="1:14" ht="24.95" customHeight="1" thickBot="1" x14ac:dyDescent="0.25">
      <c r="A72" s="71" t="s">
        <v>136</v>
      </c>
      <c r="B72" s="181" t="str">
        <f>BRMem!H100</f>
        <v>S94Photo.In</v>
      </c>
      <c r="C72" s="165">
        <f t="shared" ref="C72" si="30">C71+1</f>
        <v>323</v>
      </c>
      <c r="D72" s="181" t="str">
        <f>BRMem!H116</f>
        <v>S17Photo.In</v>
      </c>
      <c r="E72" s="165">
        <f t="shared" ref="E72" si="31">E71+1</f>
        <v>339</v>
      </c>
      <c r="F72" s="181">
        <f>BRMem!H132</f>
        <v>0</v>
      </c>
      <c r="G72" s="165">
        <f t="shared" ref="G72" si="32">G71+1</f>
        <v>355</v>
      </c>
      <c r="H72" s="12"/>
      <c r="I72" s="13"/>
      <c r="J72" s="12"/>
      <c r="K72" s="13"/>
      <c r="L72" s="12"/>
      <c r="M72" s="13"/>
      <c r="N72" s="71" t="s">
        <v>136</v>
      </c>
    </row>
    <row r="73" spans="1:14" ht="24.95" customHeight="1" thickBot="1" x14ac:dyDescent="0.25">
      <c r="A73" s="70" t="s">
        <v>137</v>
      </c>
      <c r="B73" s="162" t="str">
        <f>BRMem!H101</f>
        <v>Sol12Blt7</v>
      </c>
      <c r="C73" s="180">
        <f t="shared" ref="C73" si="33">C72+1</f>
        <v>324</v>
      </c>
      <c r="D73" s="179" t="str">
        <f>BRMem!H117</f>
        <v>S18Photo.In</v>
      </c>
      <c r="E73" s="168">
        <f t="shared" ref="E73" si="34">E72+1</f>
        <v>340</v>
      </c>
      <c r="F73" s="179" t="str">
        <f>BRMem!H133</f>
        <v>S21Photo.In</v>
      </c>
      <c r="G73" s="168">
        <f t="shared" ref="G73" si="35">G72+1</f>
        <v>356</v>
      </c>
      <c r="H73" s="119"/>
      <c r="I73" s="9"/>
      <c r="J73" s="119"/>
      <c r="K73" s="9"/>
      <c r="L73" s="119"/>
      <c r="M73" s="9"/>
      <c r="N73" s="70" t="s">
        <v>137</v>
      </c>
    </row>
    <row r="74" spans="1:14" ht="24.95" customHeight="1" thickBot="1" x14ac:dyDescent="0.25">
      <c r="A74" s="71" t="s">
        <v>138</v>
      </c>
      <c r="B74" s="166" t="str">
        <f>BRMem!H102</f>
        <v>Sol13Blt8</v>
      </c>
      <c r="C74" s="182">
        <f t="shared" ref="C74" si="36">C73+1</f>
        <v>325</v>
      </c>
      <c r="D74" s="181" t="str">
        <f>BRMem!H118</f>
        <v>S36Reed.In</v>
      </c>
      <c r="E74" s="165">
        <f t="shared" ref="E74" si="37">E73+1</f>
        <v>341</v>
      </c>
      <c r="F74" s="181">
        <f>BRMem!H134</f>
        <v>0</v>
      </c>
      <c r="G74" s="165">
        <f t="shared" ref="G74" si="38">G73+1</f>
        <v>357</v>
      </c>
      <c r="H74" s="12"/>
      <c r="I74" s="13"/>
      <c r="J74" s="12"/>
      <c r="K74" s="13"/>
      <c r="L74" s="12"/>
      <c r="M74" s="13"/>
      <c r="N74" s="71" t="s">
        <v>138</v>
      </c>
    </row>
    <row r="75" spans="1:14" ht="24.95" customHeight="1" thickBot="1" x14ac:dyDescent="0.25">
      <c r="A75" s="70" t="s">
        <v>139</v>
      </c>
      <c r="B75" s="162" t="str">
        <f>BRMem!H103</f>
        <v>Sol23DT4</v>
      </c>
      <c r="C75" s="180">
        <f t="shared" ref="C75" si="39">C74+1</f>
        <v>326</v>
      </c>
      <c r="D75" s="179" t="str">
        <f>BRMem!H119</f>
        <v>S37Reed.In</v>
      </c>
      <c r="E75" s="168">
        <f t="shared" ref="E75" si="40">E74+1</f>
        <v>342</v>
      </c>
      <c r="F75" s="179" t="str">
        <f>BRMem!H135</f>
        <v>S55Lever.In</v>
      </c>
      <c r="G75" s="168">
        <f t="shared" ref="G75" si="41">G74+1</f>
        <v>358</v>
      </c>
      <c r="H75" s="119"/>
      <c r="I75" s="9"/>
      <c r="J75" s="119"/>
      <c r="K75" s="9"/>
      <c r="L75" s="119"/>
      <c r="M75" s="9"/>
      <c r="N75" s="70" t="s">
        <v>139</v>
      </c>
    </row>
    <row r="76" spans="1:14" ht="24.95" customHeight="1" thickBot="1" x14ac:dyDescent="0.25">
      <c r="A76" s="71" t="s">
        <v>140</v>
      </c>
      <c r="B76" s="181" t="str">
        <f>BRMem!H104</f>
        <v>S8Photo.In</v>
      </c>
      <c r="C76" s="165">
        <f t="shared" ref="C76" si="42">C75+1</f>
        <v>327</v>
      </c>
      <c r="D76" s="181" t="str">
        <f>BRMem!H120</f>
        <v>S57Lever.In</v>
      </c>
      <c r="E76" s="165">
        <f t="shared" ref="E76" si="43">E75+1</f>
        <v>343</v>
      </c>
      <c r="F76" s="181" t="str">
        <f>BRMem!H136</f>
        <v>WashRun.In</v>
      </c>
      <c r="G76" s="165">
        <f t="shared" ref="G76" si="44">G75+1</f>
        <v>359</v>
      </c>
      <c r="H76" s="12"/>
      <c r="I76" s="13"/>
      <c r="J76" s="12"/>
      <c r="K76" s="13"/>
      <c r="L76" s="12"/>
      <c r="M76" s="13"/>
      <c r="N76" s="71" t="s">
        <v>140</v>
      </c>
    </row>
    <row r="77" spans="1:14" ht="24.95" customHeight="1" thickBot="1" x14ac:dyDescent="0.25">
      <c r="A77" s="70" t="s">
        <v>141</v>
      </c>
      <c r="B77" s="162" t="str">
        <f>BRMem!H105</f>
        <v>Sol40Datum</v>
      </c>
      <c r="C77" s="180">
        <f t="shared" ref="C77" si="45">C76+1</f>
        <v>328</v>
      </c>
      <c r="D77" s="213">
        <f>BRMem!H121</f>
        <v>0</v>
      </c>
      <c r="E77" s="214">
        <f t="shared" ref="E77" si="46">E76+1</f>
        <v>344</v>
      </c>
      <c r="F77" s="179" t="str">
        <f>BRMem!H137</f>
        <v>FurnReady.In</v>
      </c>
      <c r="G77" s="168">
        <f t="shared" ref="G77" si="47">G76+1</f>
        <v>360</v>
      </c>
      <c r="H77" s="119"/>
      <c r="I77" s="9"/>
      <c r="J77" s="119"/>
      <c r="K77" s="9"/>
      <c r="L77" s="119"/>
      <c r="M77" s="9"/>
      <c r="N77" s="70" t="s">
        <v>141</v>
      </c>
    </row>
    <row r="78" spans="1:14" ht="24.95" customHeight="1" thickBot="1" x14ac:dyDescent="0.25">
      <c r="A78" s="71" t="s">
        <v>161</v>
      </c>
      <c r="B78" s="166">
        <f>BRMem!H106</f>
        <v>0</v>
      </c>
      <c r="C78" s="182">
        <f t="shared" ref="C78" si="48">C77+1</f>
        <v>329</v>
      </c>
      <c r="D78" s="217">
        <f>BRMem!H122</f>
        <v>0</v>
      </c>
      <c r="E78" s="218">
        <f t="shared" ref="E78" si="49">E77+1</f>
        <v>345</v>
      </c>
      <c r="F78" s="166" t="str">
        <f>BRMem!H138</f>
        <v>WashStop.Auto</v>
      </c>
      <c r="G78" s="182">
        <f t="shared" ref="G78" si="50">G77+1</f>
        <v>361</v>
      </c>
      <c r="H78" s="12"/>
      <c r="I78" s="13"/>
      <c r="J78" s="12"/>
      <c r="K78" s="13"/>
      <c r="L78" s="12"/>
      <c r="M78" s="13"/>
      <c r="N78" s="71" t="s">
        <v>161</v>
      </c>
    </row>
    <row r="79" spans="1:14" ht="24.95" customHeight="1" thickBot="1" x14ac:dyDescent="0.25">
      <c r="A79" s="70" t="s">
        <v>162</v>
      </c>
      <c r="B79" s="162">
        <f>BRMem!H107</f>
        <v>0</v>
      </c>
      <c r="C79" s="180">
        <f t="shared" ref="C79" si="51">C78+1</f>
        <v>330</v>
      </c>
      <c r="D79" s="213">
        <f>BRMem!H123</f>
        <v>0</v>
      </c>
      <c r="E79" s="214">
        <f t="shared" ref="E79" si="52">E78+1</f>
        <v>346</v>
      </c>
      <c r="F79" s="162" t="str">
        <f>BRMem!H139</f>
        <v>BatchAtExit</v>
      </c>
      <c r="G79" s="180">
        <f t="shared" ref="G79" si="53">G78+1</f>
        <v>362</v>
      </c>
      <c r="H79" s="119"/>
      <c r="I79" s="9"/>
      <c r="J79" s="119"/>
      <c r="K79" s="9"/>
      <c r="L79" s="119"/>
      <c r="M79" s="9"/>
      <c r="N79" s="70" t="s">
        <v>162</v>
      </c>
    </row>
    <row r="80" spans="1:14" ht="24.95" customHeight="1" thickBot="1" x14ac:dyDescent="0.25">
      <c r="A80" s="71" t="s">
        <v>167</v>
      </c>
      <c r="B80" s="166">
        <f>BRMem!H108</f>
        <v>0</v>
      </c>
      <c r="C80" s="182">
        <f t="shared" ref="C80" si="54">C79+1</f>
        <v>331</v>
      </c>
      <c r="D80" s="219">
        <f>BRMem!H124</f>
        <v>0</v>
      </c>
      <c r="E80" s="220">
        <f t="shared" ref="E80" si="55">E79+1</f>
        <v>347</v>
      </c>
      <c r="F80" s="12" t="str">
        <f>BRMem!H140</f>
        <v>S48Foot.In</v>
      </c>
      <c r="G80" s="13">
        <f t="shared" ref="G80" si="56">G79+1</f>
        <v>363</v>
      </c>
      <c r="H80" s="12"/>
      <c r="I80" s="13"/>
      <c r="J80" s="12"/>
      <c r="K80" s="13"/>
      <c r="L80" s="12"/>
      <c r="M80" s="13"/>
      <c r="N80" s="71" t="s">
        <v>167</v>
      </c>
    </row>
    <row r="81" spans="1:14" ht="24.95" customHeight="1" thickBot="1" x14ac:dyDescent="0.25">
      <c r="A81" s="70">
        <v>13</v>
      </c>
      <c r="B81" s="179" t="str">
        <f>BRMem!H109</f>
        <v>S52Reed.In</v>
      </c>
      <c r="C81" s="168">
        <f t="shared" ref="C81" si="57">C80+1</f>
        <v>332</v>
      </c>
      <c r="D81" s="215">
        <f>BRMem!H125</f>
        <v>0</v>
      </c>
      <c r="E81" s="216">
        <f t="shared" ref="E81" si="58">E80+1</f>
        <v>348</v>
      </c>
      <c r="F81" s="179" t="str">
        <f>BRMem!H141</f>
        <v>S66PB.In</v>
      </c>
      <c r="G81" s="168">
        <f t="shared" ref="G81" si="59">G80+1</f>
        <v>364</v>
      </c>
      <c r="H81" s="119"/>
      <c r="I81" s="9"/>
      <c r="J81" s="119"/>
      <c r="K81" s="9"/>
      <c r="L81" s="119"/>
      <c r="M81" s="9"/>
      <c r="N81" s="70">
        <v>13</v>
      </c>
    </row>
    <row r="82" spans="1:14" ht="24.95" customHeight="1" thickBot="1" x14ac:dyDescent="0.25">
      <c r="A82" s="71">
        <v>14</v>
      </c>
      <c r="B82" s="181" t="str">
        <f>BRMem!H110</f>
        <v>S53Reed.In</v>
      </c>
      <c r="C82" s="165">
        <f t="shared" ref="C82" si="60">C81+1</f>
        <v>333</v>
      </c>
      <c r="D82" s="219">
        <f>BRMem!H126</f>
        <v>0</v>
      </c>
      <c r="E82" s="220">
        <f t="shared" ref="E82" si="61">E81+1</f>
        <v>349</v>
      </c>
      <c r="F82" s="181" t="str">
        <f>BRMem!H142</f>
        <v>S58Lever.In</v>
      </c>
      <c r="G82" s="165">
        <f t="shared" ref="G82" si="62">G81+1</f>
        <v>365</v>
      </c>
      <c r="H82" s="12"/>
      <c r="I82" s="13"/>
      <c r="J82" s="12"/>
      <c r="K82" s="13"/>
      <c r="L82" s="12"/>
      <c r="M82" s="13"/>
      <c r="N82" s="71">
        <v>14</v>
      </c>
    </row>
    <row r="83" spans="1:14" ht="24.95" customHeight="1" thickBot="1" x14ac:dyDescent="0.25">
      <c r="A83" s="70">
        <v>15</v>
      </c>
      <c r="B83" s="179">
        <f>BRMem!H111</f>
        <v>0</v>
      </c>
      <c r="C83" s="168">
        <f t="shared" ref="C83" si="63">C82+1</f>
        <v>334</v>
      </c>
      <c r="D83" s="215">
        <f>BRMem!H127</f>
        <v>0</v>
      </c>
      <c r="E83" s="216">
        <f t="shared" ref="E83" si="64">E82+1</f>
        <v>350</v>
      </c>
      <c r="F83" s="179" t="str">
        <f>BRMem!H143</f>
        <v>S20Photo.In</v>
      </c>
      <c r="G83" s="168">
        <f t="shared" ref="G83" si="65">G82+1</f>
        <v>366</v>
      </c>
      <c r="H83" s="119"/>
      <c r="I83" s="9"/>
      <c r="J83" s="119"/>
      <c r="K83" s="9"/>
      <c r="L83" s="119"/>
      <c r="M83" s="9"/>
      <c r="N83" s="70">
        <v>15</v>
      </c>
    </row>
    <row r="84" spans="1:14" ht="24.95" customHeight="1" thickBot="1" x14ac:dyDescent="0.25">
      <c r="A84" s="71">
        <v>16</v>
      </c>
      <c r="B84" s="181">
        <f>BRMem!H112</f>
        <v>0</v>
      </c>
      <c r="C84" s="165">
        <f t="shared" ref="C84" si="66">C83+1</f>
        <v>335</v>
      </c>
      <c r="D84" s="219">
        <f>BRMem!H128</f>
        <v>0</v>
      </c>
      <c r="E84" s="220">
        <f t="shared" ref="E84" si="67">E83+1</f>
        <v>351</v>
      </c>
      <c r="F84" s="181" t="str">
        <f>BRMem!H144</f>
        <v>NextBatch</v>
      </c>
      <c r="G84" s="165">
        <f t="shared" ref="G84" si="68">G83+1</f>
        <v>367</v>
      </c>
      <c r="H84" s="12"/>
      <c r="I84" s="13"/>
      <c r="J84" s="12"/>
      <c r="K84" s="13"/>
      <c r="L84" s="12"/>
      <c r="M84" s="13"/>
      <c r="N84" s="71">
        <v>16</v>
      </c>
    </row>
    <row r="85" spans="1:14" ht="18" customHeight="1" thickBot="1" x14ac:dyDescent="0.25">
      <c r="A85" s="5" t="s">
        <v>91</v>
      </c>
      <c r="B85" s="239" t="str">
        <f>B68</f>
        <v>ST16</v>
      </c>
      <c r="C85" s="240"/>
      <c r="D85" s="241"/>
      <c r="E85" s="242"/>
      <c r="F85" s="241"/>
      <c r="G85" s="242"/>
      <c r="H85" s="239"/>
      <c r="I85" s="240"/>
      <c r="J85" s="239"/>
      <c r="K85" s="240"/>
      <c r="L85" s="239"/>
      <c r="M85" s="240"/>
      <c r="N85" s="5" t="s">
        <v>91</v>
      </c>
    </row>
  </sheetData>
  <mergeCells count="77">
    <mergeCell ref="L5:M5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B6:C21"/>
    <mergeCell ref="J6:K21"/>
    <mergeCell ref="L6:M21"/>
    <mergeCell ref="B22:C22"/>
    <mergeCell ref="D22:E22"/>
    <mergeCell ref="F22:G22"/>
    <mergeCell ref="H22:I22"/>
    <mergeCell ref="J22:K22"/>
    <mergeCell ref="L22:M22"/>
    <mergeCell ref="L26:M26"/>
    <mergeCell ref="B25:C25"/>
    <mergeCell ref="D25:E25"/>
    <mergeCell ref="F25:G25"/>
    <mergeCell ref="H25:I25"/>
    <mergeCell ref="J25:K25"/>
    <mergeCell ref="L25:M25"/>
    <mergeCell ref="B26:C26"/>
    <mergeCell ref="D26:E26"/>
    <mergeCell ref="F26:G26"/>
    <mergeCell ref="H26:I26"/>
    <mergeCell ref="J26:K26"/>
    <mergeCell ref="B27:C42"/>
    <mergeCell ref="F27:G42"/>
    <mergeCell ref="B43:C43"/>
    <mergeCell ref="D43:E43"/>
    <mergeCell ref="F43:G43"/>
    <mergeCell ref="H43:I43"/>
    <mergeCell ref="L47:M47"/>
    <mergeCell ref="J43:K43"/>
    <mergeCell ref="L43:M43"/>
    <mergeCell ref="B46:C46"/>
    <mergeCell ref="D46:E46"/>
    <mergeCell ref="F46:G46"/>
    <mergeCell ref="H46:I46"/>
    <mergeCell ref="J46:K46"/>
    <mergeCell ref="L46:M46"/>
    <mergeCell ref="B47:C47"/>
    <mergeCell ref="D47:E47"/>
    <mergeCell ref="F47:G47"/>
    <mergeCell ref="H47:I47"/>
    <mergeCell ref="J47:K47"/>
    <mergeCell ref="L67:M67"/>
    <mergeCell ref="B64:C64"/>
    <mergeCell ref="D64:E64"/>
    <mergeCell ref="F64:G64"/>
    <mergeCell ref="H64:I64"/>
    <mergeCell ref="J64:K64"/>
    <mergeCell ref="L64:M64"/>
    <mergeCell ref="B67:C67"/>
    <mergeCell ref="D67:E67"/>
    <mergeCell ref="F67:G67"/>
    <mergeCell ref="H67:I67"/>
    <mergeCell ref="J67:K67"/>
    <mergeCell ref="L85:M85"/>
    <mergeCell ref="B68:C68"/>
    <mergeCell ref="D68:E68"/>
    <mergeCell ref="F68:G68"/>
    <mergeCell ref="H68:I68"/>
    <mergeCell ref="J68:K68"/>
    <mergeCell ref="L68:M68"/>
    <mergeCell ref="B85:C85"/>
    <mergeCell ref="D85:E85"/>
    <mergeCell ref="F85:G85"/>
    <mergeCell ref="H85:I85"/>
    <mergeCell ref="J85:K85"/>
  </mergeCells>
  <printOptions horizontalCentered="1" verticalCentered="1"/>
  <pageMargins left="0.94488188976377963" right="0.74803149606299213" top="0.98425196850393704" bottom="0.98425196850393704" header="0.51181102362204722" footer="0.51181102362204722"/>
  <pageSetup paperSize="8" scale="69" fitToHeight="0" orientation="portrait" horizontalDpi="4294967293" verticalDpi="300" r:id="rId1"/>
  <headerFooter alignWithMargins="0">
    <oddHeader>&amp;LIO LIST&amp;C&amp;F&amp;R&amp;P OF &amp;N</oddHeader>
  </headerFooter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Q232"/>
  <sheetViews>
    <sheetView tabSelected="1" zoomScale="80" zoomScaleNormal="80" workbookViewId="0">
      <selection activeCell="H104" sqref="H104:I104"/>
    </sheetView>
  </sheetViews>
  <sheetFormatPr defaultRowHeight="12.75" x14ac:dyDescent="0.2"/>
  <cols>
    <col min="1" max="1" width="16.7109375" customWidth="1"/>
    <col min="2" max="2" width="15.7109375" customWidth="1"/>
    <col min="3" max="3" width="40" bestFit="1" customWidth="1"/>
    <col min="4" max="4" width="16.7109375" customWidth="1"/>
    <col min="5" max="5" width="15.7109375" customWidth="1"/>
    <col min="6" max="6" width="48.28515625" bestFit="1" customWidth="1"/>
    <col min="7" max="7" width="16.7109375" customWidth="1"/>
    <col min="8" max="8" width="15.7109375" customWidth="1"/>
    <col min="9" max="9" width="35.42578125" customWidth="1"/>
    <col min="10" max="10" width="11.42578125" customWidth="1"/>
    <col min="233" max="233" width="16.7109375" customWidth="1"/>
    <col min="234" max="234" width="15.7109375" customWidth="1"/>
    <col min="235" max="235" width="40" bestFit="1" customWidth="1"/>
    <col min="236" max="236" width="16.7109375" customWidth="1"/>
    <col min="237" max="237" width="15.7109375" customWidth="1"/>
    <col min="238" max="238" width="48.28515625" bestFit="1" customWidth="1"/>
    <col min="239" max="239" width="16.7109375" customWidth="1"/>
    <col min="240" max="240" width="15.7109375" customWidth="1"/>
    <col min="241" max="241" width="35.42578125" customWidth="1"/>
    <col min="242" max="242" width="10.28515625" customWidth="1"/>
    <col min="243" max="243" width="11.42578125" customWidth="1"/>
    <col min="244" max="244" width="23.85546875" bestFit="1" customWidth="1"/>
    <col min="245" max="245" width="11.28515625" bestFit="1" customWidth="1"/>
    <col min="246" max="246" width="15.5703125" bestFit="1" customWidth="1"/>
    <col min="247" max="247" width="23" bestFit="1" customWidth="1"/>
    <col min="249" max="249" width="23" customWidth="1"/>
    <col min="489" max="489" width="16.7109375" customWidth="1"/>
    <col min="490" max="490" width="15.7109375" customWidth="1"/>
    <col min="491" max="491" width="40" bestFit="1" customWidth="1"/>
    <col min="492" max="492" width="16.7109375" customWidth="1"/>
    <col min="493" max="493" width="15.7109375" customWidth="1"/>
    <col min="494" max="494" width="48.28515625" bestFit="1" customWidth="1"/>
    <col min="495" max="495" width="16.7109375" customWidth="1"/>
    <col min="496" max="496" width="15.7109375" customWidth="1"/>
    <col min="497" max="497" width="35.42578125" customWidth="1"/>
    <col min="498" max="498" width="10.28515625" customWidth="1"/>
    <col min="499" max="499" width="11.42578125" customWidth="1"/>
    <col min="500" max="500" width="23.85546875" bestFit="1" customWidth="1"/>
    <col min="501" max="501" width="11.28515625" bestFit="1" customWidth="1"/>
    <col min="502" max="502" width="15.5703125" bestFit="1" customWidth="1"/>
    <col min="503" max="503" width="23" bestFit="1" customWidth="1"/>
    <col min="505" max="505" width="23" customWidth="1"/>
    <col min="745" max="745" width="16.7109375" customWidth="1"/>
    <col min="746" max="746" width="15.7109375" customWidth="1"/>
    <col min="747" max="747" width="40" bestFit="1" customWidth="1"/>
    <col min="748" max="748" width="16.7109375" customWidth="1"/>
    <col min="749" max="749" width="15.7109375" customWidth="1"/>
    <col min="750" max="750" width="48.28515625" bestFit="1" customWidth="1"/>
    <col min="751" max="751" width="16.7109375" customWidth="1"/>
    <col min="752" max="752" width="15.7109375" customWidth="1"/>
    <col min="753" max="753" width="35.42578125" customWidth="1"/>
    <col min="754" max="754" width="10.28515625" customWidth="1"/>
    <col min="755" max="755" width="11.42578125" customWidth="1"/>
    <col min="756" max="756" width="23.85546875" bestFit="1" customWidth="1"/>
    <col min="757" max="757" width="11.28515625" bestFit="1" customWidth="1"/>
    <col min="758" max="758" width="15.5703125" bestFit="1" customWidth="1"/>
    <col min="759" max="759" width="23" bestFit="1" customWidth="1"/>
    <col min="761" max="761" width="23" customWidth="1"/>
    <col min="1001" max="1001" width="16.7109375" customWidth="1"/>
    <col min="1002" max="1002" width="15.7109375" customWidth="1"/>
    <col min="1003" max="1003" width="40" bestFit="1" customWidth="1"/>
    <col min="1004" max="1004" width="16.7109375" customWidth="1"/>
    <col min="1005" max="1005" width="15.7109375" customWidth="1"/>
    <col min="1006" max="1006" width="48.28515625" bestFit="1" customWidth="1"/>
    <col min="1007" max="1007" width="16.7109375" customWidth="1"/>
    <col min="1008" max="1008" width="15.7109375" customWidth="1"/>
    <col min="1009" max="1009" width="35.42578125" customWidth="1"/>
    <col min="1010" max="1010" width="10.28515625" customWidth="1"/>
    <col min="1011" max="1011" width="11.42578125" customWidth="1"/>
    <col min="1012" max="1012" width="23.85546875" bestFit="1" customWidth="1"/>
    <col min="1013" max="1013" width="11.28515625" bestFit="1" customWidth="1"/>
    <col min="1014" max="1014" width="15.5703125" bestFit="1" customWidth="1"/>
    <col min="1015" max="1015" width="23" bestFit="1" customWidth="1"/>
    <col min="1017" max="1017" width="23" customWidth="1"/>
    <col min="1257" max="1257" width="16.7109375" customWidth="1"/>
    <col min="1258" max="1258" width="15.7109375" customWidth="1"/>
    <col min="1259" max="1259" width="40" bestFit="1" customWidth="1"/>
    <col min="1260" max="1260" width="16.7109375" customWidth="1"/>
    <col min="1261" max="1261" width="15.7109375" customWidth="1"/>
    <col min="1262" max="1262" width="48.28515625" bestFit="1" customWidth="1"/>
    <col min="1263" max="1263" width="16.7109375" customWidth="1"/>
    <col min="1264" max="1264" width="15.7109375" customWidth="1"/>
    <col min="1265" max="1265" width="35.42578125" customWidth="1"/>
    <col min="1266" max="1266" width="10.28515625" customWidth="1"/>
    <col min="1267" max="1267" width="11.42578125" customWidth="1"/>
    <col min="1268" max="1268" width="23.85546875" bestFit="1" customWidth="1"/>
    <col min="1269" max="1269" width="11.28515625" bestFit="1" customWidth="1"/>
    <col min="1270" max="1270" width="15.5703125" bestFit="1" customWidth="1"/>
    <col min="1271" max="1271" width="23" bestFit="1" customWidth="1"/>
    <col min="1273" max="1273" width="23" customWidth="1"/>
    <col min="1513" max="1513" width="16.7109375" customWidth="1"/>
    <col min="1514" max="1514" width="15.7109375" customWidth="1"/>
    <col min="1515" max="1515" width="40" bestFit="1" customWidth="1"/>
    <col min="1516" max="1516" width="16.7109375" customWidth="1"/>
    <col min="1517" max="1517" width="15.7109375" customWidth="1"/>
    <col min="1518" max="1518" width="48.28515625" bestFit="1" customWidth="1"/>
    <col min="1519" max="1519" width="16.7109375" customWidth="1"/>
    <col min="1520" max="1520" width="15.7109375" customWidth="1"/>
    <col min="1521" max="1521" width="35.42578125" customWidth="1"/>
    <col min="1522" max="1522" width="10.28515625" customWidth="1"/>
    <col min="1523" max="1523" width="11.42578125" customWidth="1"/>
    <col min="1524" max="1524" width="23.85546875" bestFit="1" customWidth="1"/>
    <col min="1525" max="1525" width="11.28515625" bestFit="1" customWidth="1"/>
    <col min="1526" max="1526" width="15.5703125" bestFit="1" customWidth="1"/>
    <col min="1527" max="1527" width="23" bestFit="1" customWidth="1"/>
    <col min="1529" max="1529" width="23" customWidth="1"/>
    <col min="1769" max="1769" width="16.7109375" customWidth="1"/>
    <col min="1770" max="1770" width="15.7109375" customWidth="1"/>
    <col min="1771" max="1771" width="40" bestFit="1" customWidth="1"/>
    <col min="1772" max="1772" width="16.7109375" customWidth="1"/>
    <col min="1773" max="1773" width="15.7109375" customWidth="1"/>
    <col min="1774" max="1774" width="48.28515625" bestFit="1" customWidth="1"/>
    <col min="1775" max="1775" width="16.7109375" customWidth="1"/>
    <col min="1776" max="1776" width="15.7109375" customWidth="1"/>
    <col min="1777" max="1777" width="35.42578125" customWidth="1"/>
    <col min="1778" max="1778" width="10.28515625" customWidth="1"/>
    <col min="1779" max="1779" width="11.42578125" customWidth="1"/>
    <col min="1780" max="1780" width="23.85546875" bestFit="1" customWidth="1"/>
    <col min="1781" max="1781" width="11.28515625" bestFit="1" customWidth="1"/>
    <col min="1782" max="1782" width="15.5703125" bestFit="1" customWidth="1"/>
    <col min="1783" max="1783" width="23" bestFit="1" customWidth="1"/>
    <col min="1785" max="1785" width="23" customWidth="1"/>
    <col min="2025" max="2025" width="16.7109375" customWidth="1"/>
    <col min="2026" max="2026" width="15.7109375" customWidth="1"/>
    <col min="2027" max="2027" width="40" bestFit="1" customWidth="1"/>
    <col min="2028" max="2028" width="16.7109375" customWidth="1"/>
    <col min="2029" max="2029" width="15.7109375" customWidth="1"/>
    <col min="2030" max="2030" width="48.28515625" bestFit="1" customWidth="1"/>
    <col min="2031" max="2031" width="16.7109375" customWidth="1"/>
    <col min="2032" max="2032" width="15.7109375" customWidth="1"/>
    <col min="2033" max="2033" width="35.42578125" customWidth="1"/>
    <col min="2034" max="2034" width="10.28515625" customWidth="1"/>
    <col min="2035" max="2035" width="11.42578125" customWidth="1"/>
    <col min="2036" max="2036" width="23.85546875" bestFit="1" customWidth="1"/>
    <col min="2037" max="2037" width="11.28515625" bestFit="1" customWidth="1"/>
    <col min="2038" max="2038" width="15.5703125" bestFit="1" customWidth="1"/>
    <col min="2039" max="2039" width="23" bestFit="1" customWidth="1"/>
    <col min="2041" max="2041" width="23" customWidth="1"/>
    <col min="2281" max="2281" width="16.7109375" customWidth="1"/>
    <col min="2282" max="2282" width="15.7109375" customWidth="1"/>
    <col min="2283" max="2283" width="40" bestFit="1" customWidth="1"/>
    <col min="2284" max="2284" width="16.7109375" customWidth="1"/>
    <col min="2285" max="2285" width="15.7109375" customWidth="1"/>
    <col min="2286" max="2286" width="48.28515625" bestFit="1" customWidth="1"/>
    <col min="2287" max="2287" width="16.7109375" customWidth="1"/>
    <col min="2288" max="2288" width="15.7109375" customWidth="1"/>
    <col min="2289" max="2289" width="35.42578125" customWidth="1"/>
    <col min="2290" max="2290" width="10.28515625" customWidth="1"/>
    <col min="2291" max="2291" width="11.42578125" customWidth="1"/>
    <col min="2292" max="2292" width="23.85546875" bestFit="1" customWidth="1"/>
    <col min="2293" max="2293" width="11.28515625" bestFit="1" customWidth="1"/>
    <col min="2294" max="2294" width="15.5703125" bestFit="1" customWidth="1"/>
    <col min="2295" max="2295" width="23" bestFit="1" customWidth="1"/>
    <col min="2297" max="2297" width="23" customWidth="1"/>
    <col min="2537" max="2537" width="16.7109375" customWidth="1"/>
    <col min="2538" max="2538" width="15.7109375" customWidth="1"/>
    <col min="2539" max="2539" width="40" bestFit="1" customWidth="1"/>
    <col min="2540" max="2540" width="16.7109375" customWidth="1"/>
    <col min="2541" max="2541" width="15.7109375" customWidth="1"/>
    <col min="2542" max="2542" width="48.28515625" bestFit="1" customWidth="1"/>
    <col min="2543" max="2543" width="16.7109375" customWidth="1"/>
    <col min="2544" max="2544" width="15.7109375" customWidth="1"/>
    <col min="2545" max="2545" width="35.42578125" customWidth="1"/>
    <col min="2546" max="2546" width="10.28515625" customWidth="1"/>
    <col min="2547" max="2547" width="11.42578125" customWidth="1"/>
    <col min="2548" max="2548" width="23.85546875" bestFit="1" customWidth="1"/>
    <col min="2549" max="2549" width="11.28515625" bestFit="1" customWidth="1"/>
    <col min="2550" max="2550" width="15.5703125" bestFit="1" customWidth="1"/>
    <col min="2551" max="2551" width="23" bestFit="1" customWidth="1"/>
    <col min="2553" max="2553" width="23" customWidth="1"/>
    <col min="2793" max="2793" width="16.7109375" customWidth="1"/>
    <col min="2794" max="2794" width="15.7109375" customWidth="1"/>
    <col min="2795" max="2795" width="40" bestFit="1" customWidth="1"/>
    <col min="2796" max="2796" width="16.7109375" customWidth="1"/>
    <col min="2797" max="2797" width="15.7109375" customWidth="1"/>
    <col min="2798" max="2798" width="48.28515625" bestFit="1" customWidth="1"/>
    <col min="2799" max="2799" width="16.7109375" customWidth="1"/>
    <col min="2800" max="2800" width="15.7109375" customWidth="1"/>
    <col min="2801" max="2801" width="35.42578125" customWidth="1"/>
    <col min="2802" max="2802" width="10.28515625" customWidth="1"/>
    <col min="2803" max="2803" width="11.42578125" customWidth="1"/>
    <col min="2804" max="2804" width="23.85546875" bestFit="1" customWidth="1"/>
    <col min="2805" max="2805" width="11.28515625" bestFit="1" customWidth="1"/>
    <col min="2806" max="2806" width="15.5703125" bestFit="1" customWidth="1"/>
    <col min="2807" max="2807" width="23" bestFit="1" customWidth="1"/>
    <col min="2809" max="2809" width="23" customWidth="1"/>
    <col min="3049" max="3049" width="16.7109375" customWidth="1"/>
    <col min="3050" max="3050" width="15.7109375" customWidth="1"/>
    <col min="3051" max="3051" width="40" bestFit="1" customWidth="1"/>
    <col min="3052" max="3052" width="16.7109375" customWidth="1"/>
    <col min="3053" max="3053" width="15.7109375" customWidth="1"/>
    <col min="3054" max="3054" width="48.28515625" bestFit="1" customWidth="1"/>
    <col min="3055" max="3055" width="16.7109375" customWidth="1"/>
    <col min="3056" max="3056" width="15.7109375" customWidth="1"/>
    <col min="3057" max="3057" width="35.42578125" customWidth="1"/>
    <col min="3058" max="3058" width="10.28515625" customWidth="1"/>
    <col min="3059" max="3059" width="11.42578125" customWidth="1"/>
    <col min="3060" max="3060" width="23.85546875" bestFit="1" customWidth="1"/>
    <col min="3061" max="3061" width="11.28515625" bestFit="1" customWidth="1"/>
    <col min="3062" max="3062" width="15.5703125" bestFit="1" customWidth="1"/>
    <col min="3063" max="3063" width="23" bestFit="1" customWidth="1"/>
    <col min="3065" max="3065" width="23" customWidth="1"/>
    <col min="3305" max="3305" width="16.7109375" customWidth="1"/>
    <col min="3306" max="3306" width="15.7109375" customWidth="1"/>
    <col min="3307" max="3307" width="40" bestFit="1" customWidth="1"/>
    <col min="3308" max="3308" width="16.7109375" customWidth="1"/>
    <col min="3309" max="3309" width="15.7109375" customWidth="1"/>
    <col min="3310" max="3310" width="48.28515625" bestFit="1" customWidth="1"/>
    <col min="3311" max="3311" width="16.7109375" customWidth="1"/>
    <col min="3312" max="3312" width="15.7109375" customWidth="1"/>
    <col min="3313" max="3313" width="35.42578125" customWidth="1"/>
    <col min="3314" max="3314" width="10.28515625" customWidth="1"/>
    <col min="3315" max="3315" width="11.42578125" customWidth="1"/>
    <col min="3316" max="3316" width="23.85546875" bestFit="1" customWidth="1"/>
    <col min="3317" max="3317" width="11.28515625" bestFit="1" customWidth="1"/>
    <col min="3318" max="3318" width="15.5703125" bestFit="1" customWidth="1"/>
    <col min="3319" max="3319" width="23" bestFit="1" customWidth="1"/>
    <col min="3321" max="3321" width="23" customWidth="1"/>
    <col min="3561" max="3561" width="16.7109375" customWidth="1"/>
    <col min="3562" max="3562" width="15.7109375" customWidth="1"/>
    <col min="3563" max="3563" width="40" bestFit="1" customWidth="1"/>
    <col min="3564" max="3564" width="16.7109375" customWidth="1"/>
    <col min="3565" max="3565" width="15.7109375" customWidth="1"/>
    <col min="3566" max="3566" width="48.28515625" bestFit="1" customWidth="1"/>
    <col min="3567" max="3567" width="16.7109375" customWidth="1"/>
    <col min="3568" max="3568" width="15.7109375" customWidth="1"/>
    <col min="3569" max="3569" width="35.42578125" customWidth="1"/>
    <col min="3570" max="3570" width="10.28515625" customWidth="1"/>
    <col min="3571" max="3571" width="11.42578125" customWidth="1"/>
    <col min="3572" max="3572" width="23.85546875" bestFit="1" customWidth="1"/>
    <col min="3573" max="3573" width="11.28515625" bestFit="1" customWidth="1"/>
    <col min="3574" max="3574" width="15.5703125" bestFit="1" customWidth="1"/>
    <col min="3575" max="3575" width="23" bestFit="1" customWidth="1"/>
    <col min="3577" max="3577" width="23" customWidth="1"/>
    <col min="3817" max="3817" width="16.7109375" customWidth="1"/>
    <col min="3818" max="3818" width="15.7109375" customWidth="1"/>
    <col min="3819" max="3819" width="40" bestFit="1" customWidth="1"/>
    <col min="3820" max="3820" width="16.7109375" customWidth="1"/>
    <col min="3821" max="3821" width="15.7109375" customWidth="1"/>
    <col min="3822" max="3822" width="48.28515625" bestFit="1" customWidth="1"/>
    <col min="3823" max="3823" width="16.7109375" customWidth="1"/>
    <col min="3824" max="3824" width="15.7109375" customWidth="1"/>
    <col min="3825" max="3825" width="35.42578125" customWidth="1"/>
    <col min="3826" max="3826" width="10.28515625" customWidth="1"/>
    <col min="3827" max="3827" width="11.42578125" customWidth="1"/>
    <col min="3828" max="3828" width="23.85546875" bestFit="1" customWidth="1"/>
    <col min="3829" max="3829" width="11.28515625" bestFit="1" customWidth="1"/>
    <col min="3830" max="3830" width="15.5703125" bestFit="1" customWidth="1"/>
    <col min="3831" max="3831" width="23" bestFit="1" customWidth="1"/>
    <col min="3833" max="3833" width="23" customWidth="1"/>
    <col min="4073" max="4073" width="16.7109375" customWidth="1"/>
    <col min="4074" max="4074" width="15.7109375" customWidth="1"/>
    <col min="4075" max="4075" width="40" bestFit="1" customWidth="1"/>
    <col min="4076" max="4076" width="16.7109375" customWidth="1"/>
    <col min="4077" max="4077" width="15.7109375" customWidth="1"/>
    <col min="4078" max="4078" width="48.28515625" bestFit="1" customWidth="1"/>
    <col min="4079" max="4079" width="16.7109375" customWidth="1"/>
    <col min="4080" max="4080" width="15.7109375" customWidth="1"/>
    <col min="4081" max="4081" width="35.42578125" customWidth="1"/>
    <col min="4082" max="4082" width="10.28515625" customWidth="1"/>
    <col min="4083" max="4083" width="11.42578125" customWidth="1"/>
    <col min="4084" max="4084" width="23.85546875" bestFit="1" customWidth="1"/>
    <col min="4085" max="4085" width="11.28515625" bestFit="1" customWidth="1"/>
    <col min="4086" max="4086" width="15.5703125" bestFit="1" customWidth="1"/>
    <col min="4087" max="4087" width="23" bestFit="1" customWidth="1"/>
    <col min="4089" max="4089" width="23" customWidth="1"/>
    <col min="4329" max="4329" width="16.7109375" customWidth="1"/>
    <col min="4330" max="4330" width="15.7109375" customWidth="1"/>
    <col min="4331" max="4331" width="40" bestFit="1" customWidth="1"/>
    <col min="4332" max="4332" width="16.7109375" customWidth="1"/>
    <col min="4333" max="4333" width="15.7109375" customWidth="1"/>
    <col min="4334" max="4334" width="48.28515625" bestFit="1" customWidth="1"/>
    <col min="4335" max="4335" width="16.7109375" customWidth="1"/>
    <col min="4336" max="4336" width="15.7109375" customWidth="1"/>
    <col min="4337" max="4337" width="35.42578125" customWidth="1"/>
    <col min="4338" max="4338" width="10.28515625" customWidth="1"/>
    <col min="4339" max="4339" width="11.42578125" customWidth="1"/>
    <col min="4340" max="4340" width="23.85546875" bestFit="1" customWidth="1"/>
    <col min="4341" max="4341" width="11.28515625" bestFit="1" customWidth="1"/>
    <col min="4342" max="4342" width="15.5703125" bestFit="1" customWidth="1"/>
    <col min="4343" max="4343" width="23" bestFit="1" customWidth="1"/>
    <col min="4345" max="4345" width="23" customWidth="1"/>
    <col min="4585" max="4585" width="16.7109375" customWidth="1"/>
    <col min="4586" max="4586" width="15.7109375" customWidth="1"/>
    <col min="4587" max="4587" width="40" bestFit="1" customWidth="1"/>
    <col min="4588" max="4588" width="16.7109375" customWidth="1"/>
    <col min="4589" max="4589" width="15.7109375" customWidth="1"/>
    <col min="4590" max="4590" width="48.28515625" bestFit="1" customWidth="1"/>
    <col min="4591" max="4591" width="16.7109375" customWidth="1"/>
    <col min="4592" max="4592" width="15.7109375" customWidth="1"/>
    <col min="4593" max="4593" width="35.42578125" customWidth="1"/>
    <col min="4594" max="4594" width="10.28515625" customWidth="1"/>
    <col min="4595" max="4595" width="11.42578125" customWidth="1"/>
    <col min="4596" max="4596" width="23.85546875" bestFit="1" customWidth="1"/>
    <col min="4597" max="4597" width="11.28515625" bestFit="1" customWidth="1"/>
    <col min="4598" max="4598" width="15.5703125" bestFit="1" customWidth="1"/>
    <col min="4599" max="4599" width="23" bestFit="1" customWidth="1"/>
    <col min="4601" max="4601" width="23" customWidth="1"/>
    <col min="4841" max="4841" width="16.7109375" customWidth="1"/>
    <col min="4842" max="4842" width="15.7109375" customWidth="1"/>
    <col min="4843" max="4843" width="40" bestFit="1" customWidth="1"/>
    <col min="4844" max="4844" width="16.7109375" customWidth="1"/>
    <col min="4845" max="4845" width="15.7109375" customWidth="1"/>
    <col min="4846" max="4846" width="48.28515625" bestFit="1" customWidth="1"/>
    <col min="4847" max="4847" width="16.7109375" customWidth="1"/>
    <col min="4848" max="4848" width="15.7109375" customWidth="1"/>
    <col min="4849" max="4849" width="35.42578125" customWidth="1"/>
    <col min="4850" max="4850" width="10.28515625" customWidth="1"/>
    <col min="4851" max="4851" width="11.42578125" customWidth="1"/>
    <col min="4852" max="4852" width="23.85546875" bestFit="1" customWidth="1"/>
    <col min="4853" max="4853" width="11.28515625" bestFit="1" customWidth="1"/>
    <col min="4854" max="4854" width="15.5703125" bestFit="1" customWidth="1"/>
    <col min="4855" max="4855" width="23" bestFit="1" customWidth="1"/>
    <col min="4857" max="4857" width="23" customWidth="1"/>
    <col min="5097" max="5097" width="16.7109375" customWidth="1"/>
    <col min="5098" max="5098" width="15.7109375" customWidth="1"/>
    <col min="5099" max="5099" width="40" bestFit="1" customWidth="1"/>
    <col min="5100" max="5100" width="16.7109375" customWidth="1"/>
    <col min="5101" max="5101" width="15.7109375" customWidth="1"/>
    <col min="5102" max="5102" width="48.28515625" bestFit="1" customWidth="1"/>
    <col min="5103" max="5103" width="16.7109375" customWidth="1"/>
    <col min="5104" max="5104" width="15.7109375" customWidth="1"/>
    <col min="5105" max="5105" width="35.42578125" customWidth="1"/>
    <col min="5106" max="5106" width="10.28515625" customWidth="1"/>
    <col min="5107" max="5107" width="11.42578125" customWidth="1"/>
    <col min="5108" max="5108" width="23.85546875" bestFit="1" customWidth="1"/>
    <col min="5109" max="5109" width="11.28515625" bestFit="1" customWidth="1"/>
    <col min="5110" max="5110" width="15.5703125" bestFit="1" customWidth="1"/>
    <col min="5111" max="5111" width="23" bestFit="1" customWidth="1"/>
    <col min="5113" max="5113" width="23" customWidth="1"/>
    <col min="5353" max="5353" width="16.7109375" customWidth="1"/>
    <col min="5354" max="5354" width="15.7109375" customWidth="1"/>
    <col min="5355" max="5355" width="40" bestFit="1" customWidth="1"/>
    <col min="5356" max="5356" width="16.7109375" customWidth="1"/>
    <col min="5357" max="5357" width="15.7109375" customWidth="1"/>
    <col min="5358" max="5358" width="48.28515625" bestFit="1" customWidth="1"/>
    <col min="5359" max="5359" width="16.7109375" customWidth="1"/>
    <col min="5360" max="5360" width="15.7109375" customWidth="1"/>
    <col min="5361" max="5361" width="35.42578125" customWidth="1"/>
    <col min="5362" max="5362" width="10.28515625" customWidth="1"/>
    <col min="5363" max="5363" width="11.42578125" customWidth="1"/>
    <col min="5364" max="5364" width="23.85546875" bestFit="1" customWidth="1"/>
    <col min="5365" max="5365" width="11.28515625" bestFit="1" customWidth="1"/>
    <col min="5366" max="5366" width="15.5703125" bestFit="1" customWidth="1"/>
    <col min="5367" max="5367" width="23" bestFit="1" customWidth="1"/>
    <col min="5369" max="5369" width="23" customWidth="1"/>
    <col min="5609" max="5609" width="16.7109375" customWidth="1"/>
    <col min="5610" max="5610" width="15.7109375" customWidth="1"/>
    <col min="5611" max="5611" width="40" bestFit="1" customWidth="1"/>
    <col min="5612" max="5612" width="16.7109375" customWidth="1"/>
    <col min="5613" max="5613" width="15.7109375" customWidth="1"/>
    <col min="5614" max="5614" width="48.28515625" bestFit="1" customWidth="1"/>
    <col min="5615" max="5615" width="16.7109375" customWidth="1"/>
    <col min="5616" max="5616" width="15.7109375" customWidth="1"/>
    <col min="5617" max="5617" width="35.42578125" customWidth="1"/>
    <col min="5618" max="5618" width="10.28515625" customWidth="1"/>
    <col min="5619" max="5619" width="11.42578125" customWidth="1"/>
    <col min="5620" max="5620" width="23.85546875" bestFit="1" customWidth="1"/>
    <col min="5621" max="5621" width="11.28515625" bestFit="1" customWidth="1"/>
    <col min="5622" max="5622" width="15.5703125" bestFit="1" customWidth="1"/>
    <col min="5623" max="5623" width="23" bestFit="1" customWidth="1"/>
    <col min="5625" max="5625" width="23" customWidth="1"/>
    <col min="5865" max="5865" width="16.7109375" customWidth="1"/>
    <col min="5866" max="5866" width="15.7109375" customWidth="1"/>
    <col min="5867" max="5867" width="40" bestFit="1" customWidth="1"/>
    <col min="5868" max="5868" width="16.7109375" customWidth="1"/>
    <col min="5869" max="5869" width="15.7109375" customWidth="1"/>
    <col min="5870" max="5870" width="48.28515625" bestFit="1" customWidth="1"/>
    <col min="5871" max="5871" width="16.7109375" customWidth="1"/>
    <col min="5872" max="5872" width="15.7109375" customWidth="1"/>
    <col min="5873" max="5873" width="35.42578125" customWidth="1"/>
    <col min="5874" max="5874" width="10.28515625" customWidth="1"/>
    <col min="5875" max="5875" width="11.42578125" customWidth="1"/>
    <col min="5876" max="5876" width="23.85546875" bestFit="1" customWidth="1"/>
    <col min="5877" max="5877" width="11.28515625" bestFit="1" customWidth="1"/>
    <col min="5878" max="5878" width="15.5703125" bestFit="1" customWidth="1"/>
    <col min="5879" max="5879" width="23" bestFit="1" customWidth="1"/>
    <col min="5881" max="5881" width="23" customWidth="1"/>
    <col min="6121" max="6121" width="16.7109375" customWidth="1"/>
    <col min="6122" max="6122" width="15.7109375" customWidth="1"/>
    <col min="6123" max="6123" width="40" bestFit="1" customWidth="1"/>
    <col min="6124" max="6124" width="16.7109375" customWidth="1"/>
    <col min="6125" max="6125" width="15.7109375" customWidth="1"/>
    <col min="6126" max="6126" width="48.28515625" bestFit="1" customWidth="1"/>
    <col min="6127" max="6127" width="16.7109375" customWidth="1"/>
    <col min="6128" max="6128" width="15.7109375" customWidth="1"/>
    <col min="6129" max="6129" width="35.42578125" customWidth="1"/>
    <col min="6130" max="6130" width="10.28515625" customWidth="1"/>
    <col min="6131" max="6131" width="11.42578125" customWidth="1"/>
    <col min="6132" max="6132" width="23.85546875" bestFit="1" customWidth="1"/>
    <col min="6133" max="6133" width="11.28515625" bestFit="1" customWidth="1"/>
    <col min="6134" max="6134" width="15.5703125" bestFit="1" customWidth="1"/>
    <col min="6135" max="6135" width="23" bestFit="1" customWidth="1"/>
    <col min="6137" max="6137" width="23" customWidth="1"/>
    <col min="6377" max="6377" width="16.7109375" customWidth="1"/>
    <col min="6378" max="6378" width="15.7109375" customWidth="1"/>
    <col min="6379" max="6379" width="40" bestFit="1" customWidth="1"/>
    <col min="6380" max="6380" width="16.7109375" customWidth="1"/>
    <col min="6381" max="6381" width="15.7109375" customWidth="1"/>
    <col min="6382" max="6382" width="48.28515625" bestFit="1" customWidth="1"/>
    <col min="6383" max="6383" width="16.7109375" customWidth="1"/>
    <col min="6384" max="6384" width="15.7109375" customWidth="1"/>
    <col min="6385" max="6385" width="35.42578125" customWidth="1"/>
    <col min="6386" max="6386" width="10.28515625" customWidth="1"/>
    <col min="6387" max="6387" width="11.42578125" customWidth="1"/>
    <col min="6388" max="6388" width="23.85546875" bestFit="1" customWidth="1"/>
    <col min="6389" max="6389" width="11.28515625" bestFit="1" customWidth="1"/>
    <col min="6390" max="6390" width="15.5703125" bestFit="1" customWidth="1"/>
    <col min="6391" max="6391" width="23" bestFit="1" customWidth="1"/>
    <col min="6393" max="6393" width="23" customWidth="1"/>
    <col min="6633" max="6633" width="16.7109375" customWidth="1"/>
    <col min="6634" max="6634" width="15.7109375" customWidth="1"/>
    <col min="6635" max="6635" width="40" bestFit="1" customWidth="1"/>
    <col min="6636" max="6636" width="16.7109375" customWidth="1"/>
    <col min="6637" max="6637" width="15.7109375" customWidth="1"/>
    <col min="6638" max="6638" width="48.28515625" bestFit="1" customWidth="1"/>
    <col min="6639" max="6639" width="16.7109375" customWidth="1"/>
    <col min="6640" max="6640" width="15.7109375" customWidth="1"/>
    <col min="6641" max="6641" width="35.42578125" customWidth="1"/>
    <col min="6642" max="6642" width="10.28515625" customWidth="1"/>
    <col min="6643" max="6643" width="11.42578125" customWidth="1"/>
    <col min="6644" max="6644" width="23.85546875" bestFit="1" customWidth="1"/>
    <col min="6645" max="6645" width="11.28515625" bestFit="1" customWidth="1"/>
    <col min="6646" max="6646" width="15.5703125" bestFit="1" customWidth="1"/>
    <col min="6647" max="6647" width="23" bestFit="1" customWidth="1"/>
    <col min="6649" max="6649" width="23" customWidth="1"/>
    <col min="6889" max="6889" width="16.7109375" customWidth="1"/>
    <col min="6890" max="6890" width="15.7109375" customWidth="1"/>
    <col min="6891" max="6891" width="40" bestFit="1" customWidth="1"/>
    <col min="6892" max="6892" width="16.7109375" customWidth="1"/>
    <col min="6893" max="6893" width="15.7109375" customWidth="1"/>
    <col min="6894" max="6894" width="48.28515625" bestFit="1" customWidth="1"/>
    <col min="6895" max="6895" width="16.7109375" customWidth="1"/>
    <col min="6896" max="6896" width="15.7109375" customWidth="1"/>
    <col min="6897" max="6897" width="35.42578125" customWidth="1"/>
    <col min="6898" max="6898" width="10.28515625" customWidth="1"/>
    <col min="6899" max="6899" width="11.42578125" customWidth="1"/>
    <col min="6900" max="6900" width="23.85546875" bestFit="1" customWidth="1"/>
    <col min="6901" max="6901" width="11.28515625" bestFit="1" customWidth="1"/>
    <col min="6902" max="6902" width="15.5703125" bestFit="1" customWidth="1"/>
    <col min="6903" max="6903" width="23" bestFit="1" customWidth="1"/>
    <col min="6905" max="6905" width="23" customWidth="1"/>
    <col min="7145" max="7145" width="16.7109375" customWidth="1"/>
    <col min="7146" max="7146" width="15.7109375" customWidth="1"/>
    <col min="7147" max="7147" width="40" bestFit="1" customWidth="1"/>
    <col min="7148" max="7148" width="16.7109375" customWidth="1"/>
    <col min="7149" max="7149" width="15.7109375" customWidth="1"/>
    <col min="7150" max="7150" width="48.28515625" bestFit="1" customWidth="1"/>
    <col min="7151" max="7151" width="16.7109375" customWidth="1"/>
    <col min="7152" max="7152" width="15.7109375" customWidth="1"/>
    <col min="7153" max="7153" width="35.42578125" customWidth="1"/>
    <col min="7154" max="7154" width="10.28515625" customWidth="1"/>
    <col min="7155" max="7155" width="11.42578125" customWidth="1"/>
    <col min="7156" max="7156" width="23.85546875" bestFit="1" customWidth="1"/>
    <col min="7157" max="7157" width="11.28515625" bestFit="1" customWidth="1"/>
    <col min="7158" max="7158" width="15.5703125" bestFit="1" customWidth="1"/>
    <col min="7159" max="7159" width="23" bestFit="1" customWidth="1"/>
    <col min="7161" max="7161" width="23" customWidth="1"/>
    <col min="7401" max="7401" width="16.7109375" customWidth="1"/>
    <col min="7402" max="7402" width="15.7109375" customWidth="1"/>
    <col min="7403" max="7403" width="40" bestFit="1" customWidth="1"/>
    <col min="7404" max="7404" width="16.7109375" customWidth="1"/>
    <col min="7405" max="7405" width="15.7109375" customWidth="1"/>
    <col min="7406" max="7406" width="48.28515625" bestFit="1" customWidth="1"/>
    <col min="7407" max="7407" width="16.7109375" customWidth="1"/>
    <col min="7408" max="7408" width="15.7109375" customWidth="1"/>
    <col min="7409" max="7409" width="35.42578125" customWidth="1"/>
    <col min="7410" max="7410" width="10.28515625" customWidth="1"/>
    <col min="7411" max="7411" width="11.42578125" customWidth="1"/>
    <col min="7412" max="7412" width="23.85546875" bestFit="1" customWidth="1"/>
    <col min="7413" max="7413" width="11.28515625" bestFit="1" customWidth="1"/>
    <col min="7414" max="7414" width="15.5703125" bestFit="1" customWidth="1"/>
    <col min="7415" max="7415" width="23" bestFit="1" customWidth="1"/>
    <col min="7417" max="7417" width="23" customWidth="1"/>
    <col min="7657" max="7657" width="16.7109375" customWidth="1"/>
    <col min="7658" max="7658" width="15.7109375" customWidth="1"/>
    <col min="7659" max="7659" width="40" bestFit="1" customWidth="1"/>
    <col min="7660" max="7660" width="16.7109375" customWidth="1"/>
    <col min="7661" max="7661" width="15.7109375" customWidth="1"/>
    <col min="7662" max="7662" width="48.28515625" bestFit="1" customWidth="1"/>
    <col min="7663" max="7663" width="16.7109375" customWidth="1"/>
    <col min="7664" max="7664" width="15.7109375" customWidth="1"/>
    <col min="7665" max="7665" width="35.42578125" customWidth="1"/>
    <col min="7666" max="7666" width="10.28515625" customWidth="1"/>
    <col min="7667" max="7667" width="11.42578125" customWidth="1"/>
    <col min="7668" max="7668" width="23.85546875" bestFit="1" customWidth="1"/>
    <col min="7669" max="7669" width="11.28515625" bestFit="1" customWidth="1"/>
    <col min="7670" max="7670" width="15.5703125" bestFit="1" customWidth="1"/>
    <col min="7671" max="7671" width="23" bestFit="1" customWidth="1"/>
    <col min="7673" max="7673" width="23" customWidth="1"/>
    <col min="7913" max="7913" width="16.7109375" customWidth="1"/>
    <col min="7914" max="7914" width="15.7109375" customWidth="1"/>
    <col min="7915" max="7915" width="40" bestFit="1" customWidth="1"/>
    <col min="7916" max="7916" width="16.7109375" customWidth="1"/>
    <col min="7917" max="7917" width="15.7109375" customWidth="1"/>
    <col min="7918" max="7918" width="48.28515625" bestFit="1" customWidth="1"/>
    <col min="7919" max="7919" width="16.7109375" customWidth="1"/>
    <col min="7920" max="7920" width="15.7109375" customWidth="1"/>
    <col min="7921" max="7921" width="35.42578125" customWidth="1"/>
    <col min="7922" max="7922" width="10.28515625" customWidth="1"/>
    <col min="7923" max="7923" width="11.42578125" customWidth="1"/>
    <col min="7924" max="7924" width="23.85546875" bestFit="1" customWidth="1"/>
    <col min="7925" max="7925" width="11.28515625" bestFit="1" customWidth="1"/>
    <col min="7926" max="7926" width="15.5703125" bestFit="1" customWidth="1"/>
    <col min="7927" max="7927" width="23" bestFit="1" customWidth="1"/>
    <col min="7929" max="7929" width="23" customWidth="1"/>
    <col min="8169" max="8169" width="16.7109375" customWidth="1"/>
    <col min="8170" max="8170" width="15.7109375" customWidth="1"/>
    <col min="8171" max="8171" width="40" bestFit="1" customWidth="1"/>
    <col min="8172" max="8172" width="16.7109375" customWidth="1"/>
    <col min="8173" max="8173" width="15.7109375" customWidth="1"/>
    <col min="8174" max="8174" width="48.28515625" bestFit="1" customWidth="1"/>
    <col min="8175" max="8175" width="16.7109375" customWidth="1"/>
    <col min="8176" max="8176" width="15.7109375" customWidth="1"/>
    <col min="8177" max="8177" width="35.42578125" customWidth="1"/>
    <col min="8178" max="8178" width="10.28515625" customWidth="1"/>
    <col min="8179" max="8179" width="11.42578125" customWidth="1"/>
    <col min="8180" max="8180" width="23.85546875" bestFit="1" customWidth="1"/>
    <col min="8181" max="8181" width="11.28515625" bestFit="1" customWidth="1"/>
    <col min="8182" max="8182" width="15.5703125" bestFit="1" customWidth="1"/>
    <col min="8183" max="8183" width="23" bestFit="1" customWidth="1"/>
    <col min="8185" max="8185" width="23" customWidth="1"/>
    <col min="8425" max="8425" width="16.7109375" customWidth="1"/>
    <col min="8426" max="8426" width="15.7109375" customWidth="1"/>
    <col min="8427" max="8427" width="40" bestFit="1" customWidth="1"/>
    <col min="8428" max="8428" width="16.7109375" customWidth="1"/>
    <col min="8429" max="8429" width="15.7109375" customWidth="1"/>
    <col min="8430" max="8430" width="48.28515625" bestFit="1" customWidth="1"/>
    <col min="8431" max="8431" width="16.7109375" customWidth="1"/>
    <col min="8432" max="8432" width="15.7109375" customWidth="1"/>
    <col min="8433" max="8433" width="35.42578125" customWidth="1"/>
    <col min="8434" max="8434" width="10.28515625" customWidth="1"/>
    <col min="8435" max="8435" width="11.42578125" customWidth="1"/>
    <col min="8436" max="8436" width="23.85546875" bestFit="1" customWidth="1"/>
    <col min="8437" max="8437" width="11.28515625" bestFit="1" customWidth="1"/>
    <col min="8438" max="8438" width="15.5703125" bestFit="1" customWidth="1"/>
    <col min="8439" max="8439" width="23" bestFit="1" customWidth="1"/>
    <col min="8441" max="8441" width="23" customWidth="1"/>
    <col min="8681" max="8681" width="16.7109375" customWidth="1"/>
    <col min="8682" max="8682" width="15.7109375" customWidth="1"/>
    <col min="8683" max="8683" width="40" bestFit="1" customWidth="1"/>
    <col min="8684" max="8684" width="16.7109375" customWidth="1"/>
    <col min="8685" max="8685" width="15.7109375" customWidth="1"/>
    <col min="8686" max="8686" width="48.28515625" bestFit="1" customWidth="1"/>
    <col min="8687" max="8687" width="16.7109375" customWidth="1"/>
    <col min="8688" max="8688" width="15.7109375" customWidth="1"/>
    <col min="8689" max="8689" width="35.42578125" customWidth="1"/>
    <col min="8690" max="8690" width="10.28515625" customWidth="1"/>
    <col min="8691" max="8691" width="11.42578125" customWidth="1"/>
    <col min="8692" max="8692" width="23.85546875" bestFit="1" customWidth="1"/>
    <col min="8693" max="8693" width="11.28515625" bestFit="1" customWidth="1"/>
    <col min="8694" max="8694" width="15.5703125" bestFit="1" customWidth="1"/>
    <col min="8695" max="8695" width="23" bestFit="1" customWidth="1"/>
    <col min="8697" max="8697" width="23" customWidth="1"/>
    <col min="8937" max="8937" width="16.7109375" customWidth="1"/>
    <col min="8938" max="8938" width="15.7109375" customWidth="1"/>
    <col min="8939" max="8939" width="40" bestFit="1" customWidth="1"/>
    <col min="8940" max="8940" width="16.7109375" customWidth="1"/>
    <col min="8941" max="8941" width="15.7109375" customWidth="1"/>
    <col min="8942" max="8942" width="48.28515625" bestFit="1" customWidth="1"/>
    <col min="8943" max="8943" width="16.7109375" customWidth="1"/>
    <col min="8944" max="8944" width="15.7109375" customWidth="1"/>
    <col min="8945" max="8945" width="35.42578125" customWidth="1"/>
    <col min="8946" max="8946" width="10.28515625" customWidth="1"/>
    <col min="8947" max="8947" width="11.42578125" customWidth="1"/>
    <col min="8948" max="8948" width="23.85546875" bestFit="1" customWidth="1"/>
    <col min="8949" max="8949" width="11.28515625" bestFit="1" customWidth="1"/>
    <col min="8950" max="8950" width="15.5703125" bestFit="1" customWidth="1"/>
    <col min="8951" max="8951" width="23" bestFit="1" customWidth="1"/>
    <col min="8953" max="8953" width="23" customWidth="1"/>
    <col min="9193" max="9193" width="16.7109375" customWidth="1"/>
    <col min="9194" max="9194" width="15.7109375" customWidth="1"/>
    <col min="9195" max="9195" width="40" bestFit="1" customWidth="1"/>
    <col min="9196" max="9196" width="16.7109375" customWidth="1"/>
    <col min="9197" max="9197" width="15.7109375" customWidth="1"/>
    <col min="9198" max="9198" width="48.28515625" bestFit="1" customWidth="1"/>
    <col min="9199" max="9199" width="16.7109375" customWidth="1"/>
    <col min="9200" max="9200" width="15.7109375" customWidth="1"/>
    <col min="9201" max="9201" width="35.42578125" customWidth="1"/>
    <col min="9202" max="9202" width="10.28515625" customWidth="1"/>
    <col min="9203" max="9203" width="11.42578125" customWidth="1"/>
    <col min="9204" max="9204" width="23.85546875" bestFit="1" customWidth="1"/>
    <col min="9205" max="9205" width="11.28515625" bestFit="1" customWidth="1"/>
    <col min="9206" max="9206" width="15.5703125" bestFit="1" customWidth="1"/>
    <col min="9207" max="9207" width="23" bestFit="1" customWidth="1"/>
    <col min="9209" max="9209" width="23" customWidth="1"/>
    <col min="9449" max="9449" width="16.7109375" customWidth="1"/>
    <col min="9450" max="9450" width="15.7109375" customWidth="1"/>
    <col min="9451" max="9451" width="40" bestFit="1" customWidth="1"/>
    <col min="9452" max="9452" width="16.7109375" customWidth="1"/>
    <col min="9453" max="9453" width="15.7109375" customWidth="1"/>
    <col min="9454" max="9454" width="48.28515625" bestFit="1" customWidth="1"/>
    <col min="9455" max="9455" width="16.7109375" customWidth="1"/>
    <col min="9456" max="9456" width="15.7109375" customWidth="1"/>
    <col min="9457" max="9457" width="35.42578125" customWidth="1"/>
    <col min="9458" max="9458" width="10.28515625" customWidth="1"/>
    <col min="9459" max="9459" width="11.42578125" customWidth="1"/>
    <col min="9460" max="9460" width="23.85546875" bestFit="1" customWidth="1"/>
    <col min="9461" max="9461" width="11.28515625" bestFit="1" customWidth="1"/>
    <col min="9462" max="9462" width="15.5703125" bestFit="1" customWidth="1"/>
    <col min="9463" max="9463" width="23" bestFit="1" customWidth="1"/>
    <col min="9465" max="9465" width="23" customWidth="1"/>
    <col min="9705" max="9705" width="16.7109375" customWidth="1"/>
    <col min="9706" max="9706" width="15.7109375" customWidth="1"/>
    <col min="9707" max="9707" width="40" bestFit="1" customWidth="1"/>
    <col min="9708" max="9708" width="16.7109375" customWidth="1"/>
    <col min="9709" max="9709" width="15.7109375" customWidth="1"/>
    <col min="9710" max="9710" width="48.28515625" bestFit="1" customWidth="1"/>
    <col min="9711" max="9711" width="16.7109375" customWidth="1"/>
    <col min="9712" max="9712" width="15.7109375" customWidth="1"/>
    <col min="9713" max="9713" width="35.42578125" customWidth="1"/>
    <col min="9714" max="9714" width="10.28515625" customWidth="1"/>
    <col min="9715" max="9715" width="11.42578125" customWidth="1"/>
    <col min="9716" max="9716" width="23.85546875" bestFit="1" customWidth="1"/>
    <col min="9717" max="9717" width="11.28515625" bestFit="1" customWidth="1"/>
    <col min="9718" max="9718" width="15.5703125" bestFit="1" customWidth="1"/>
    <col min="9719" max="9719" width="23" bestFit="1" customWidth="1"/>
    <col min="9721" max="9721" width="23" customWidth="1"/>
    <col min="9961" max="9961" width="16.7109375" customWidth="1"/>
    <col min="9962" max="9962" width="15.7109375" customWidth="1"/>
    <col min="9963" max="9963" width="40" bestFit="1" customWidth="1"/>
    <col min="9964" max="9964" width="16.7109375" customWidth="1"/>
    <col min="9965" max="9965" width="15.7109375" customWidth="1"/>
    <col min="9966" max="9966" width="48.28515625" bestFit="1" customWidth="1"/>
    <col min="9967" max="9967" width="16.7109375" customWidth="1"/>
    <col min="9968" max="9968" width="15.7109375" customWidth="1"/>
    <col min="9969" max="9969" width="35.42578125" customWidth="1"/>
    <col min="9970" max="9970" width="10.28515625" customWidth="1"/>
    <col min="9971" max="9971" width="11.42578125" customWidth="1"/>
    <col min="9972" max="9972" width="23.85546875" bestFit="1" customWidth="1"/>
    <col min="9973" max="9973" width="11.28515625" bestFit="1" customWidth="1"/>
    <col min="9974" max="9974" width="15.5703125" bestFit="1" customWidth="1"/>
    <col min="9975" max="9975" width="23" bestFit="1" customWidth="1"/>
    <col min="9977" max="9977" width="23" customWidth="1"/>
    <col min="10217" max="10217" width="16.7109375" customWidth="1"/>
    <col min="10218" max="10218" width="15.7109375" customWidth="1"/>
    <col min="10219" max="10219" width="40" bestFit="1" customWidth="1"/>
    <col min="10220" max="10220" width="16.7109375" customWidth="1"/>
    <col min="10221" max="10221" width="15.7109375" customWidth="1"/>
    <col min="10222" max="10222" width="48.28515625" bestFit="1" customWidth="1"/>
    <col min="10223" max="10223" width="16.7109375" customWidth="1"/>
    <col min="10224" max="10224" width="15.7109375" customWidth="1"/>
    <col min="10225" max="10225" width="35.42578125" customWidth="1"/>
    <col min="10226" max="10226" width="10.28515625" customWidth="1"/>
    <col min="10227" max="10227" width="11.42578125" customWidth="1"/>
    <col min="10228" max="10228" width="23.85546875" bestFit="1" customWidth="1"/>
    <col min="10229" max="10229" width="11.28515625" bestFit="1" customWidth="1"/>
    <col min="10230" max="10230" width="15.5703125" bestFit="1" customWidth="1"/>
    <col min="10231" max="10231" width="23" bestFit="1" customWidth="1"/>
    <col min="10233" max="10233" width="23" customWidth="1"/>
    <col min="10473" max="10473" width="16.7109375" customWidth="1"/>
    <col min="10474" max="10474" width="15.7109375" customWidth="1"/>
    <col min="10475" max="10475" width="40" bestFit="1" customWidth="1"/>
    <col min="10476" max="10476" width="16.7109375" customWidth="1"/>
    <col min="10477" max="10477" width="15.7109375" customWidth="1"/>
    <col min="10478" max="10478" width="48.28515625" bestFit="1" customWidth="1"/>
    <col min="10479" max="10479" width="16.7109375" customWidth="1"/>
    <col min="10480" max="10480" width="15.7109375" customWidth="1"/>
    <col min="10481" max="10481" width="35.42578125" customWidth="1"/>
    <col min="10482" max="10482" width="10.28515625" customWidth="1"/>
    <col min="10483" max="10483" width="11.42578125" customWidth="1"/>
    <col min="10484" max="10484" width="23.85546875" bestFit="1" customWidth="1"/>
    <col min="10485" max="10485" width="11.28515625" bestFit="1" customWidth="1"/>
    <col min="10486" max="10486" width="15.5703125" bestFit="1" customWidth="1"/>
    <col min="10487" max="10487" width="23" bestFit="1" customWidth="1"/>
    <col min="10489" max="10489" width="23" customWidth="1"/>
    <col min="10729" max="10729" width="16.7109375" customWidth="1"/>
    <col min="10730" max="10730" width="15.7109375" customWidth="1"/>
    <col min="10731" max="10731" width="40" bestFit="1" customWidth="1"/>
    <col min="10732" max="10732" width="16.7109375" customWidth="1"/>
    <col min="10733" max="10733" width="15.7109375" customWidth="1"/>
    <col min="10734" max="10734" width="48.28515625" bestFit="1" customWidth="1"/>
    <col min="10735" max="10735" width="16.7109375" customWidth="1"/>
    <col min="10736" max="10736" width="15.7109375" customWidth="1"/>
    <col min="10737" max="10737" width="35.42578125" customWidth="1"/>
    <col min="10738" max="10738" width="10.28515625" customWidth="1"/>
    <col min="10739" max="10739" width="11.42578125" customWidth="1"/>
    <col min="10740" max="10740" width="23.85546875" bestFit="1" customWidth="1"/>
    <col min="10741" max="10741" width="11.28515625" bestFit="1" customWidth="1"/>
    <col min="10742" max="10742" width="15.5703125" bestFit="1" customWidth="1"/>
    <col min="10743" max="10743" width="23" bestFit="1" customWidth="1"/>
    <col min="10745" max="10745" width="23" customWidth="1"/>
    <col min="10985" max="10985" width="16.7109375" customWidth="1"/>
    <col min="10986" max="10986" width="15.7109375" customWidth="1"/>
    <col min="10987" max="10987" width="40" bestFit="1" customWidth="1"/>
    <col min="10988" max="10988" width="16.7109375" customWidth="1"/>
    <col min="10989" max="10989" width="15.7109375" customWidth="1"/>
    <col min="10990" max="10990" width="48.28515625" bestFit="1" customWidth="1"/>
    <col min="10991" max="10991" width="16.7109375" customWidth="1"/>
    <col min="10992" max="10992" width="15.7109375" customWidth="1"/>
    <col min="10993" max="10993" width="35.42578125" customWidth="1"/>
    <col min="10994" max="10994" width="10.28515625" customWidth="1"/>
    <col min="10995" max="10995" width="11.42578125" customWidth="1"/>
    <col min="10996" max="10996" width="23.85546875" bestFit="1" customWidth="1"/>
    <col min="10997" max="10997" width="11.28515625" bestFit="1" customWidth="1"/>
    <col min="10998" max="10998" width="15.5703125" bestFit="1" customWidth="1"/>
    <col min="10999" max="10999" width="23" bestFit="1" customWidth="1"/>
    <col min="11001" max="11001" width="23" customWidth="1"/>
    <col min="11241" max="11241" width="16.7109375" customWidth="1"/>
    <col min="11242" max="11242" width="15.7109375" customWidth="1"/>
    <col min="11243" max="11243" width="40" bestFit="1" customWidth="1"/>
    <col min="11244" max="11244" width="16.7109375" customWidth="1"/>
    <col min="11245" max="11245" width="15.7109375" customWidth="1"/>
    <col min="11246" max="11246" width="48.28515625" bestFit="1" customWidth="1"/>
    <col min="11247" max="11247" width="16.7109375" customWidth="1"/>
    <col min="11248" max="11248" width="15.7109375" customWidth="1"/>
    <col min="11249" max="11249" width="35.42578125" customWidth="1"/>
    <col min="11250" max="11250" width="10.28515625" customWidth="1"/>
    <col min="11251" max="11251" width="11.42578125" customWidth="1"/>
    <col min="11252" max="11252" width="23.85546875" bestFit="1" customWidth="1"/>
    <col min="11253" max="11253" width="11.28515625" bestFit="1" customWidth="1"/>
    <col min="11254" max="11254" width="15.5703125" bestFit="1" customWidth="1"/>
    <col min="11255" max="11255" width="23" bestFit="1" customWidth="1"/>
    <col min="11257" max="11257" width="23" customWidth="1"/>
    <col min="11497" max="11497" width="16.7109375" customWidth="1"/>
    <col min="11498" max="11498" width="15.7109375" customWidth="1"/>
    <col min="11499" max="11499" width="40" bestFit="1" customWidth="1"/>
    <col min="11500" max="11500" width="16.7109375" customWidth="1"/>
    <col min="11501" max="11501" width="15.7109375" customWidth="1"/>
    <col min="11502" max="11502" width="48.28515625" bestFit="1" customWidth="1"/>
    <col min="11503" max="11503" width="16.7109375" customWidth="1"/>
    <col min="11504" max="11504" width="15.7109375" customWidth="1"/>
    <col min="11505" max="11505" width="35.42578125" customWidth="1"/>
    <col min="11506" max="11506" width="10.28515625" customWidth="1"/>
    <col min="11507" max="11507" width="11.42578125" customWidth="1"/>
    <col min="11508" max="11508" width="23.85546875" bestFit="1" customWidth="1"/>
    <col min="11509" max="11509" width="11.28515625" bestFit="1" customWidth="1"/>
    <col min="11510" max="11510" width="15.5703125" bestFit="1" customWidth="1"/>
    <col min="11511" max="11511" width="23" bestFit="1" customWidth="1"/>
    <col min="11513" max="11513" width="23" customWidth="1"/>
    <col min="11753" max="11753" width="16.7109375" customWidth="1"/>
    <col min="11754" max="11754" width="15.7109375" customWidth="1"/>
    <col min="11755" max="11755" width="40" bestFit="1" customWidth="1"/>
    <col min="11756" max="11756" width="16.7109375" customWidth="1"/>
    <col min="11757" max="11757" width="15.7109375" customWidth="1"/>
    <col min="11758" max="11758" width="48.28515625" bestFit="1" customWidth="1"/>
    <col min="11759" max="11759" width="16.7109375" customWidth="1"/>
    <col min="11760" max="11760" width="15.7109375" customWidth="1"/>
    <col min="11761" max="11761" width="35.42578125" customWidth="1"/>
    <col min="11762" max="11762" width="10.28515625" customWidth="1"/>
    <col min="11763" max="11763" width="11.42578125" customWidth="1"/>
    <col min="11764" max="11764" width="23.85546875" bestFit="1" customWidth="1"/>
    <col min="11765" max="11765" width="11.28515625" bestFit="1" customWidth="1"/>
    <col min="11766" max="11766" width="15.5703125" bestFit="1" customWidth="1"/>
    <col min="11767" max="11767" width="23" bestFit="1" customWidth="1"/>
    <col min="11769" max="11769" width="23" customWidth="1"/>
    <col min="12009" max="12009" width="16.7109375" customWidth="1"/>
    <col min="12010" max="12010" width="15.7109375" customWidth="1"/>
    <col min="12011" max="12011" width="40" bestFit="1" customWidth="1"/>
    <col min="12012" max="12012" width="16.7109375" customWidth="1"/>
    <col min="12013" max="12013" width="15.7109375" customWidth="1"/>
    <col min="12014" max="12014" width="48.28515625" bestFit="1" customWidth="1"/>
    <col min="12015" max="12015" width="16.7109375" customWidth="1"/>
    <col min="12016" max="12016" width="15.7109375" customWidth="1"/>
    <col min="12017" max="12017" width="35.42578125" customWidth="1"/>
    <col min="12018" max="12018" width="10.28515625" customWidth="1"/>
    <col min="12019" max="12019" width="11.42578125" customWidth="1"/>
    <col min="12020" max="12020" width="23.85546875" bestFit="1" customWidth="1"/>
    <col min="12021" max="12021" width="11.28515625" bestFit="1" customWidth="1"/>
    <col min="12022" max="12022" width="15.5703125" bestFit="1" customWidth="1"/>
    <col min="12023" max="12023" width="23" bestFit="1" customWidth="1"/>
    <col min="12025" max="12025" width="23" customWidth="1"/>
    <col min="12265" max="12265" width="16.7109375" customWidth="1"/>
    <col min="12266" max="12266" width="15.7109375" customWidth="1"/>
    <col min="12267" max="12267" width="40" bestFit="1" customWidth="1"/>
    <col min="12268" max="12268" width="16.7109375" customWidth="1"/>
    <col min="12269" max="12269" width="15.7109375" customWidth="1"/>
    <col min="12270" max="12270" width="48.28515625" bestFit="1" customWidth="1"/>
    <col min="12271" max="12271" width="16.7109375" customWidth="1"/>
    <col min="12272" max="12272" width="15.7109375" customWidth="1"/>
    <col min="12273" max="12273" width="35.42578125" customWidth="1"/>
    <col min="12274" max="12274" width="10.28515625" customWidth="1"/>
    <col min="12275" max="12275" width="11.42578125" customWidth="1"/>
    <col min="12276" max="12276" width="23.85546875" bestFit="1" customWidth="1"/>
    <col min="12277" max="12277" width="11.28515625" bestFit="1" customWidth="1"/>
    <col min="12278" max="12278" width="15.5703125" bestFit="1" customWidth="1"/>
    <col min="12279" max="12279" width="23" bestFit="1" customWidth="1"/>
    <col min="12281" max="12281" width="23" customWidth="1"/>
    <col min="12521" max="12521" width="16.7109375" customWidth="1"/>
    <col min="12522" max="12522" width="15.7109375" customWidth="1"/>
    <col min="12523" max="12523" width="40" bestFit="1" customWidth="1"/>
    <col min="12524" max="12524" width="16.7109375" customWidth="1"/>
    <col min="12525" max="12525" width="15.7109375" customWidth="1"/>
    <col min="12526" max="12526" width="48.28515625" bestFit="1" customWidth="1"/>
    <col min="12527" max="12527" width="16.7109375" customWidth="1"/>
    <col min="12528" max="12528" width="15.7109375" customWidth="1"/>
    <col min="12529" max="12529" width="35.42578125" customWidth="1"/>
    <col min="12530" max="12530" width="10.28515625" customWidth="1"/>
    <col min="12531" max="12531" width="11.42578125" customWidth="1"/>
    <col min="12532" max="12532" width="23.85546875" bestFit="1" customWidth="1"/>
    <col min="12533" max="12533" width="11.28515625" bestFit="1" customWidth="1"/>
    <col min="12534" max="12534" width="15.5703125" bestFit="1" customWidth="1"/>
    <col min="12535" max="12535" width="23" bestFit="1" customWidth="1"/>
    <col min="12537" max="12537" width="23" customWidth="1"/>
    <col min="12777" max="12777" width="16.7109375" customWidth="1"/>
    <col min="12778" max="12778" width="15.7109375" customWidth="1"/>
    <col min="12779" max="12779" width="40" bestFit="1" customWidth="1"/>
    <col min="12780" max="12780" width="16.7109375" customWidth="1"/>
    <col min="12781" max="12781" width="15.7109375" customWidth="1"/>
    <col min="12782" max="12782" width="48.28515625" bestFit="1" customWidth="1"/>
    <col min="12783" max="12783" width="16.7109375" customWidth="1"/>
    <col min="12784" max="12784" width="15.7109375" customWidth="1"/>
    <col min="12785" max="12785" width="35.42578125" customWidth="1"/>
    <col min="12786" max="12786" width="10.28515625" customWidth="1"/>
    <col min="12787" max="12787" width="11.42578125" customWidth="1"/>
    <col min="12788" max="12788" width="23.85546875" bestFit="1" customWidth="1"/>
    <col min="12789" max="12789" width="11.28515625" bestFit="1" customWidth="1"/>
    <col min="12790" max="12790" width="15.5703125" bestFit="1" customWidth="1"/>
    <col min="12791" max="12791" width="23" bestFit="1" customWidth="1"/>
    <col min="12793" max="12793" width="23" customWidth="1"/>
    <col min="13033" max="13033" width="16.7109375" customWidth="1"/>
    <col min="13034" max="13034" width="15.7109375" customWidth="1"/>
    <col min="13035" max="13035" width="40" bestFit="1" customWidth="1"/>
    <col min="13036" max="13036" width="16.7109375" customWidth="1"/>
    <col min="13037" max="13037" width="15.7109375" customWidth="1"/>
    <col min="13038" max="13038" width="48.28515625" bestFit="1" customWidth="1"/>
    <col min="13039" max="13039" width="16.7109375" customWidth="1"/>
    <col min="13040" max="13040" width="15.7109375" customWidth="1"/>
    <col min="13041" max="13041" width="35.42578125" customWidth="1"/>
    <col min="13042" max="13042" width="10.28515625" customWidth="1"/>
    <col min="13043" max="13043" width="11.42578125" customWidth="1"/>
    <col min="13044" max="13044" width="23.85546875" bestFit="1" customWidth="1"/>
    <col min="13045" max="13045" width="11.28515625" bestFit="1" customWidth="1"/>
    <col min="13046" max="13046" width="15.5703125" bestFit="1" customWidth="1"/>
    <col min="13047" max="13047" width="23" bestFit="1" customWidth="1"/>
    <col min="13049" max="13049" width="23" customWidth="1"/>
    <col min="13289" max="13289" width="16.7109375" customWidth="1"/>
    <col min="13290" max="13290" width="15.7109375" customWidth="1"/>
    <col min="13291" max="13291" width="40" bestFit="1" customWidth="1"/>
    <col min="13292" max="13292" width="16.7109375" customWidth="1"/>
    <col min="13293" max="13293" width="15.7109375" customWidth="1"/>
    <col min="13294" max="13294" width="48.28515625" bestFit="1" customWidth="1"/>
    <col min="13295" max="13295" width="16.7109375" customWidth="1"/>
    <col min="13296" max="13296" width="15.7109375" customWidth="1"/>
    <col min="13297" max="13297" width="35.42578125" customWidth="1"/>
    <col min="13298" max="13298" width="10.28515625" customWidth="1"/>
    <col min="13299" max="13299" width="11.42578125" customWidth="1"/>
    <col min="13300" max="13300" width="23.85546875" bestFit="1" customWidth="1"/>
    <col min="13301" max="13301" width="11.28515625" bestFit="1" customWidth="1"/>
    <col min="13302" max="13302" width="15.5703125" bestFit="1" customWidth="1"/>
    <col min="13303" max="13303" width="23" bestFit="1" customWidth="1"/>
    <col min="13305" max="13305" width="23" customWidth="1"/>
    <col min="13545" max="13545" width="16.7109375" customWidth="1"/>
    <col min="13546" max="13546" width="15.7109375" customWidth="1"/>
    <col min="13547" max="13547" width="40" bestFit="1" customWidth="1"/>
    <col min="13548" max="13548" width="16.7109375" customWidth="1"/>
    <col min="13549" max="13549" width="15.7109375" customWidth="1"/>
    <col min="13550" max="13550" width="48.28515625" bestFit="1" customWidth="1"/>
    <col min="13551" max="13551" width="16.7109375" customWidth="1"/>
    <col min="13552" max="13552" width="15.7109375" customWidth="1"/>
    <col min="13553" max="13553" width="35.42578125" customWidth="1"/>
    <col min="13554" max="13554" width="10.28515625" customWidth="1"/>
    <col min="13555" max="13555" width="11.42578125" customWidth="1"/>
    <col min="13556" max="13556" width="23.85546875" bestFit="1" customWidth="1"/>
    <col min="13557" max="13557" width="11.28515625" bestFit="1" customWidth="1"/>
    <col min="13558" max="13558" width="15.5703125" bestFit="1" customWidth="1"/>
    <col min="13559" max="13559" width="23" bestFit="1" customWidth="1"/>
    <col min="13561" max="13561" width="23" customWidth="1"/>
    <col min="13801" max="13801" width="16.7109375" customWidth="1"/>
    <col min="13802" max="13802" width="15.7109375" customWidth="1"/>
    <col min="13803" max="13803" width="40" bestFit="1" customWidth="1"/>
    <col min="13804" max="13804" width="16.7109375" customWidth="1"/>
    <col min="13805" max="13805" width="15.7109375" customWidth="1"/>
    <col min="13806" max="13806" width="48.28515625" bestFit="1" customWidth="1"/>
    <col min="13807" max="13807" width="16.7109375" customWidth="1"/>
    <col min="13808" max="13808" width="15.7109375" customWidth="1"/>
    <col min="13809" max="13809" width="35.42578125" customWidth="1"/>
    <col min="13810" max="13810" width="10.28515625" customWidth="1"/>
    <col min="13811" max="13811" width="11.42578125" customWidth="1"/>
    <col min="13812" max="13812" width="23.85546875" bestFit="1" customWidth="1"/>
    <col min="13813" max="13813" width="11.28515625" bestFit="1" customWidth="1"/>
    <col min="13814" max="13814" width="15.5703125" bestFit="1" customWidth="1"/>
    <col min="13815" max="13815" width="23" bestFit="1" customWidth="1"/>
    <col min="13817" max="13817" width="23" customWidth="1"/>
    <col min="14057" max="14057" width="16.7109375" customWidth="1"/>
    <col min="14058" max="14058" width="15.7109375" customWidth="1"/>
    <col min="14059" max="14059" width="40" bestFit="1" customWidth="1"/>
    <col min="14060" max="14060" width="16.7109375" customWidth="1"/>
    <col min="14061" max="14061" width="15.7109375" customWidth="1"/>
    <col min="14062" max="14062" width="48.28515625" bestFit="1" customWidth="1"/>
    <col min="14063" max="14063" width="16.7109375" customWidth="1"/>
    <col min="14064" max="14064" width="15.7109375" customWidth="1"/>
    <col min="14065" max="14065" width="35.42578125" customWidth="1"/>
    <col min="14066" max="14066" width="10.28515625" customWidth="1"/>
    <col min="14067" max="14067" width="11.42578125" customWidth="1"/>
    <col min="14068" max="14068" width="23.85546875" bestFit="1" customWidth="1"/>
    <col min="14069" max="14069" width="11.28515625" bestFit="1" customWidth="1"/>
    <col min="14070" max="14070" width="15.5703125" bestFit="1" customWidth="1"/>
    <col min="14071" max="14071" width="23" bestFit="1" customWidth="1"/>
    <col min="14073" max="14073" width="23" customWidth="1"/>
    <col min="14313" max="14313" width="16.7109375" customWidth="1"/>
    <col min="14314" max="14314" width="15.7109375" customWidth="1"/>
    <col min="14315" max="14315" width="40" bestFit="1" customWidth="1"/>
    <col min="14316" max="14316" width="16.7109375" customWidth="1"/>
    <col min="14317" max="14317" width="15.7109375" customWidth="1"/>
    <col min="14318" max="14318" width="48.28515625" bestFit="1" customWidth="1"/>
    <col min="14319" max="14319" width="16.7109375" customWidth="1"/>
    <col min="14320" max="14320" width="15.7109375" customWidth="1"/>
    <col min="14321" max="14321" width="35.42578125" customWidth="1"/>
    <col min="14322" max="14322" width="10.28515625" customWidth="1"/>
    <col min="14323" max="14323" width="11.42578125" customWidth="1"/>
    <col min="14324" max="14324" width="23.85546875" bestFit="1" customWidth="1"/>
    <col min="14325" max="14325" width="11.28515625" bestFit="1" customWidth="1"/>
    <col min="14326" max="14326" width="15.5703125" bestFit="1" customWidth="1"/>
    <col min="14327" max="14327" width="23" bestFit="1" customWidth="1"/>
    <col min="14329" max="14329" width="23" customWidth="1"/>
    <col min="14569" max="14569" width="16.7109375" customWidth="1"/>
    <col min="14570" max="14570" width="15.7109375" customWidth="1"/>
    <col min="14571" max="14571" width="40" bestFit="1" customWidth="1"/>
    <col min="14572" max="14572" width="16.7109375" customWidth="1"/>
    <col min="14573" max="14573" width="15.7109375" customWidth="1"/>
    <col min="14574" max="14574" width="48.28515625" bestFit="1" customWidth="1"/>
    <col min="14575" max="14575" width="16.7109375" customWidth="1"/>
    <col min="14576" max="14576" width="15.7109375" customWidth="1"/>
    <col min="14577" max="14577" width="35.42578125" customWidth="1"/>
    <col min="14578" max="14578" width="10.28515625" customWidth="1"/>
    <col min="14579" max="14579" width="11.42578125" customWidth="1"/>
    <col min="14580" max="14580" width="23.85546875" bestFit="1" customWidth="1"/>
    <col min="14581" max="14581" width="11.28515625" bestFit="1" customWidth="1"/>
    <col min="14582" max="14582" width="15.5703125" bestFit="1" customWidth="1"/>
    <col min="14583" max="14583" width="23" bestFit="1" customWidth="1"/>
    <col min="14585" max="14585" width="23" customWidth="1"/>
    <col min="14825" max="14825" width="16.7109375" customWidth="1"/>
    <col min="14826" max="14826" width="15.7109375" customWidth="1"/>
    <col min="14827" max="14827" width="40" bestFit="1" customWidth="1"/>
    <col min="14828" max="14828" width="16.7109375" customWidth="1"/>
    <col min="14829" max="14829" width="15.7109375" customWidth="1"/>
    <col min="14830" max="14830" width="48.28515625" bestFit="1" customWidth="1"/>
    <col min="14831" max="14831" width="16.7109375" customWidth="1"/>
    <col min="14832" max="14832" width="15.7109375" customWidth="1"/>
    <col min="14833" max="14833" width="35.42578125" customWidth="1"/>
    <col min="14834" max="14834" width="10.28515625" customWidth="1"/>
    <col min="14835" max="14835" width="11.42578125" customWidth="1"/>
    <col min="14836" max="14836" width="23.85546875" bestFit="1" customWidth="1"/>
    <col min="14837" max="14837" width="11.28515625" bestFit="1" customWidth="1"/>
    <col min="14838" max="14838" width="15.5703125" bestFit="1" customWidth="1"/>
    <col min="14839" max="14839" width="23" bestFit="1" customWidth="1"/>
    <col min="14841" max="14841" width="23" customWidth="1"/>
    <col min="15081" max="15081" width="16.7109375" customWidth="1"/>
    <col min="15082" max="15082" width="15.7109375" customWidth="1"/>
    <col min="15083" max="15083" width="40" bestFit="1" customWidth="1"/>
    <col min="15084" max="15084" width="16.7109375" customWidth="1"/>
    <col min="15085" max="15085" width="15.7109375" customWidth="1"/>
    <col min="15086" max="15086" width="48.28515625" bestFit="1" customWidth="1"/>
    <col min="15087" max="15087" width="16.7109375" customWidth="1"/>
    <col min="15088" max="15088" width="15.7109375" customWidth="1"/>
    <col min="15089" max="15089" width="35.42578125" customWidth="1"/>
    <col min="15090" max="15090" width="10.28515625" customWidth="1"/>
    <col min="15091" max="15091" width="11.42578125" customWidth="1"/>
    <col min="15092" max="15092" width="23.85546875" bestFit="1" customWidth="1"/>
    <col min="15093" max="15093" width="11.28515625" bestFit="1" customWidth="1"/>
    <col min="15094" max="15094" width="15.5703125" bestFit="1" customWidth="1"/>
    <col min="15095" max="15095" width="23" bestFit="1" customWidth="1"/>
    <col min="15097" max="15097" width="23" customWidth="1"/>
    <col min="15337" max="15337" width="16.7109375" customWidth="1"/>
    <col min="15338" max="15338" width="15.7109375" customWidth="1"/>
    <col min="15339" max="15339" width="40" bestFit="1" customWidth="1"/>
    <col min="15340" max="15340" width="16.7109375" customWidth="1"/>
    <col min="15341" max="15341" width="15.7109375" customWidth="1"/>
    <col min="15342" max="15342" width="48.28515625" bestFit="1" customWidth="1"/>
    <col min="15343" max="15343" width="16.7109375" customWidth="1"/>
    <col min="15344" max="15344" width="15.7109375" customWidth="1"/>
    <col min="15345" max="15345" width="35.42578125" customWidth="1"/>
    <col min="15346" max="15346" width="10.28515625" customWidth="1"/>
    <col min="15347" max="15347" width="11.42578125" customWidth="1"/>
    <col min="15348" max="15348" width="23.85546875" bestFit="1" customWidth="1"/>
    <col min="15349" max="15349" width="11.28515625" bestFit="1" customWidth="1"/>
    <col min="15350" max="15350" width="15.5703125" bestFit="1" customWidth="1"/>
    <col min="15351" max="15351" width="23" bestFit="1" customWidth="1"/>
    <col min="15353" max="15353" width="23" customWidth="1"/>
    <col min="15593" max="15593" width="16.7109375" customWidth="1"/>
    <col min="15594" max="15594" width="15.7109375" customWidth="1"/>
    <col min="15595" max="15595" width="40" bestFit="1" customWidth="1"/>
    <col min="15596" max="15596" width="16.7109375" customWidth="1"/>
    <col min="15597" max="15597" width="15.7109375" customWidth="1"/>
    <col min="15598" max="15598" width="48.28515625" bestFit="1" customWidth="1"/>
    <col min="15599" max="15599" width="16.7109375" customWidth="1"/>
    <col min="15600" max="15600" width="15.7109375" customWidth="1"/>
    <col min="15601" max="15601" width="35.42578125" customWidth="1"/>
    <col min="15602" max="15602" width="10.28515625" customWidth="1"/>
    <col min="15603" max="15603" width="11.42578125" customWidth="1"/>
    <col min="15604" max="15604" width="23.85546875" bestFit="1" customWidth="1"/>
    <col min="15605" max="15605" width="11.28515625" bestFit="1" customWidth="1"/>
    <col min="15606" max="15606" width="15.5703125" bestFit="1" customWidth="1"/>
    <col min="15607" max="15607" width="23" bestFit="1" customWidth="1"/>
    <col min="15609" max="15609" width="23" customWidth="1"/>
    <col min="15849" max="15849" width="16.7109375" customWidth="1"/>
    <col min="15850" max="15850" width="15.7109375" customWidth="1"/>
    <col min="15851" max="15851" width="40" bestFit="1" customWidth="1"/>
    <col min="15852" max="15852" width="16.7109375" customWidth="1"/>
    <col min="15853" max="15853" width="15.7109375" customWidth="1"/>
    <col min="15854" max="15854" width="48.28515625" bestFit="1" customWidth="1"/>
    <col min="15855" max="15855" width="16.7109375" customWidth="1"/>
    <col min="15856" max="15856" width="15.7109375" customWidth="1"/>
    <col min="15857" max="15857" width="35.42578125" customWidth="1"/>
    <col min="15858" max="15858" width="10.28515625" customWidth="1"/>
    <col min="15859" max="15859" width="11.42578125" customWidth="1"/>
    <col min="15860" max="15860" width="23.85546875" bestFit="1" customWidth="1"/>
    <col min="15861" max="15861" width="11.28515625" bestFit="1" customWidth="1"/>
    <col min="15862" max="15862" width="15.5703125" bestFit="1" customWidth="1"/>
    <col min="15863" max="15863" width="23" bestFit="1" customWidth="1"/>
    <col min="15865" max="15865" width="23" customWidth="1"/>
    <col min="16105" max="16105" width="16.7109375" customWidth="1"/>
    <col min="16106" max="16106" width="15.7109375" customWidth="1"/>
    <col min="16107" max="16107" width="40" bestFit="1" customWidth="1"/>
    <col min="16108" max="16108" width="16.7109375" customWidth="1"/>
    <col min="16109" max="16109" width="15.7109375" customWidth="1"/>
    <col min="16110" max="16110" width="48.28515625" bestFit="1" customWidth="1"/>
    <col min="16111" max="16111" width="16.7109375" customWidth="1"/>
    <col min="16112" max="16112" width="15.7109375" customWidth="1"/>
    <col min="16113" max="16113" width="35.42578125" customWidth="1"/>
    <col min="16114" max="16114" width="10.28515625" customWidth="1"/>
    <col min="16115" max="16115" width="11.42578125" customWidth="1"/>
    <col min="16116" max="16116" width="23.85546875" bestFit="1" customWidth="1"/>
    <col min="16117" max="16117" width="11.28515625" bestFit="1" customWidth="1"/>
    <col min="16118" max="16118" width="15.5703125" bestFit="1" customWidth="1"/>
    <col min="16119" max="16119" width="23" bestFit="1" customWidth="1"/>
    <col min="16121" max="16121" width="23" customWidth="1"/>
  </cols>
  <sheetData>
    <row r="1" spans="1:12" ht="15" x14ac:dyDescent="0.25">
      <c r="A1" s="1" t="s">
        <v>119</v>
      </c>
      <c r="B1" s="14" t="s">
        <v>1118</v>
      </c>
      <c r="C1" s="14" t="s">
        <v>329</v>
      </c>
      <c r="D1" s="1" t="s">
        <v>120</v>
      </c>
      <c r="E1" s="25" t="s">
        <v>288</v>
      </c>
      <c r="F1" s="25" t="s">
        <v>332</v>
      </c>
      <c r="G1" s="132" t="s">
        <v>122</v>
      </c>
      <c r="H1" s="72" t="s">
        <v>28</v>
      </c>
      <c r="I1" s="72" t="s">
        <v>638</v>
      </c>
      <c r="J1" s="112">
        <v>100</v>
      </c>
      <c r="K1" s="112" t="s">
        <v>368</v>
      </c>
    </row>
    <row r="2" spans="1:12" ht="15" x14ac:dyDescent="0.25">
      <c r="A2" s="1" t="s">
        <v>144</v>
      </c>
      <c r="B2" s="14" t="s">
        <v>279</v>
      </c>
      <c r="C2" s="14" t="s">
        <v>330</v>
      </c>
      <c r="D2" s="1" t="s">
        <v>146</v>
      </c>
      <c r="E2" s="25" t="s">
        <v>1120</v>
      </c>
      <c r="F2" s="25" t="s">
        <v>333</v>
      </c>
      <c r="G2" s="131" t="s">
        <v>801</v>
      </c>
      <c r="H2" s="72" t="s">
        <v>405</v>
      </c>
      <c r="I2" s="72" t="s">
        <v>1235</v>
      </c>
      <c r="J2" s="112">
        <v>101</v>
      </c>
      <c r="K2" s="112" t="s">
        <v>409</v>
      </c>
    </row>
    <row r="3" spans="1:12" ht="15" x14ac:dyDescent="0.25">
      <c r="B3" s="14" t="s">
        <v>1119</v>
      </c>
      <c r="C3" s="14" t="s">
        <v>331</v>
      </c>
      <c r="E3" s="25"/>
      <c r="F3" s="25"/>
      <c r="G3" s="131" t="s">
        <v>626</v>
      </c>
      <c r="H3" s="72" t="s">
        <v>798</v>
      </c>
      <c r="I3" s="72" t="s">
        <v>1236</v>
      </c>
      <c r="J3" s="112">
        <v>102</v>
      </c>
      <c r="K3" s="112" t="s">
        <v>409</v>
      </c>
    </row>
    <row r="4" spans="1:12" ht="15" x14ac:dyDescent="0.25">
      <c r="B4" s="14"/>
      <c r="C4" s="14"/>
      <c r="E4" s="25"/>
      <c r="F4" s="25"/>
      <c r="G4" s="131" t="s">
        <v>627</v>
      </c>
      <c r="H4" s="72" t="s">
        <v>1237</v>
      </c>
      <c r="I4" s="72" t="s">
        <v>1238</v>
      </c>
      <c r="J4" s="112">
        <v>103</v>
      </c>
      <c r="K4" s="112" t="s">
        <v>804</v>
      </c>
      <c r="L4" t="s">
        <v>777</v>
      </c>
    </row>
    <row r="5" spans="1:12" ht="15" x14ac:dyDescent="0.25">
      <c r="B5" s="14" t="s">
        <v>280</v>
      </c>
      <c r="C5" s="14" t="s">
        <v>335</v>
      </c>
      <c r="E5" s="25"/>
      <c r="F5" s="25"/>
      <c r="G5" s="131" t="s">
        <v>367</v>
      </c>
      <c r="H5" s="72" t="s">
        <v>31</v>
      </c>
      <c r="I5" s="72" t="s">
        <v>799</v>
      </c>
      <c r="J5" s="112">
        <v>104</v>
      </c>
      <c r="K5" s="112" t="s">
        <v>409</v>
      </c>
    </row>
    <row r="6" spans="1:12" ht="15" x14ac:dyDescent="0.25">
      <c r="B6" s="14" t="s">
        <v>281</v>
      </c>
      <c r="C6" s="14" t="s">
        <v>337</v>
      </c>
      <c r="E6" s="25"/>
      <c r="F6" s="25"/>
      <c r="G6" s="131" t="s">
        <v>1061</v>
      </c>
      <c r="H6" s="72" t="s">
        <v>32</v>
      </c>
      <c r="I6" s="72" t="s">
        <v>800</v>
      </c>
      <c r="J6" s="112">
        <v>105</v>
      </c>
      <c r="K6" s="112" t="s">
        <v>409</v>
      </c>
    </row>
    <row r="7" spans="1:12" ht="15" x14ac:dyDescent="0.25">
      <c r="B7" s="14" t="s">
        <v>282</v>
      </c>
      <c r="C7" s="14" t="s">
        <v>339</v>
      </c>
      <c r="E7" s="25"/>
      <c r="F7" s="25"/>
      <c r="G7" s="132"/>
      <c r="H7" s="72" t="s">
        <v>1244</v>
      </c>
      <c r="I7" s="72" t="s">
        <v>1245</v>
      </c>
      <c r="J7" s="112">
        <v>106</v>
      </c>
      <c r="K7" s="112" t="s">
        <v>804</v>
      </c>
      <c r="L7" t="s">
        <v>777</v>
      </c>
    </row>
    <row r="8" spans="1:12" ht="15" x14ac:dyDescent="0.25">
      <c r="B8" s="14" t="s">
        <v>283</v>
      </c>
      <c r="C8" s="14" t="s">
        <v>341</v>
      </c>
      <c r="E8" s="132" t="s">
        <v>1623</v>
      </c>
      <c r="F8" s="132" t="s">
        <v>1624</v>
      </c>
      <c r="G8" s="132"/>
      <c r="H8" s="72" t="s">
        <v>1243</v>
      </c>
      <c r="I8" s="72" t="s">
        <v>1246</v>
      </c>
      <c r="J8" s="112">
        <v>107</v>
      </c>
      <c r="K8" s="112" t="s">
        <v>804</v>
      </c>
      <c r="L8" t="s">
        <v>777</v>
      </c>
    </row>
    <row r="9" spans="1:12" ht="15" x14ac:dyDescent="0.25">
      <c r="B9" s="14" t="s">
        <v>284</v>
      </c>
      <c r="C9" s="14" t="s">
        <v>343</v>
      </c>
      <c r="E9" s="132" t="s">
        <v>1625</v>
      </c>
      <c r="F9" s="132" t="s">
        <v>1626</v>
      </c>
      <c r="G9" s="132"/>
      <c r="H9" s="72" t="s">
        <v>1253</v>
      </c>
      <c r="I9" s="72" t="s">
        <v>1254</v>
      </c>
      <c r="J9" s="112">
        <v>108</v>
      </c>
      <c r="K9" s="112" t="s">
        <v>803</v>
      </c>
    </row>
    <row r="10" spans="1:12" ht="15" x14ac:dyDescent="0.25">
      <c r="B10" s="14" t="s">
        <v>285</v>
      </c>
      <c r="C10" s="14" t="s">
        <v>345</v>
      </c>
      <c r="E10" s="132" t="s">
        <v>1628</v>
      </c>
      <c r="F10" s="132" t="s">
        <v>1627</v>
      </c>
      <c r="G10" s="131"/>
      <c r="H10" s="72" t="s">
        <v>48</v>
      </c>
      <c r="I10" s="72" t="s">
        <v>365</v>
      </c>
      <c r="J10" s="112">
        <v>109</v>
      </c>
      <c r="K10" s="112" t="s">
        <v>803</v>
      </c>
    </row>
    <row r="11" spans="1:12" ht="15" x14ac:dyDescent="0.25">
      <c r="B11" s="14" t="s">
        <v>286</v>
      </c>
      <c r="C11" s="14" t="s">
        <v>347</v>
      </c>
      <c r="E11" s="25" t="s">
        <v>1425</v>
      </c>
      <c r="F11" s="25" t="s">
        <v>1426</v>
      </c>
      <c r="G11" s="131"/>
      <c r="H11" s="72" t="s">
        <v>49</v>
      </c>
      <c r="I11" s="72" t="s">
        <v>51</v>
      </c>
      <c r="J11" s="112">
        <v>110</v>
      </c>
      <c r="K11" s="112" t="s">
        <v>803</v>
      </c>
    </row>
    <row r="12" spans="1:12" ht="15" x14ac:dyDescent="0.25">
      <c r="B12" s="14" t="s">
        <v>287</v>
      </c>
      <c r="C12" s="14" t="s">
        <v>349</v>
      </c>
      <c r="E12" s="25" t="s">
        <v>291</v>
      </c>
      <c r="F12" s="25" t="s">
        <v>1232</v>
      </c>
      <c r="G12" s="131"/>
      <c r="H12" s="72" t="s">
        <v>1239</v>
      </c>
      <c r="I12" s="72" t="s">
        <v>1240</v>
      </c>
      <c r="J12" s="112">
        <v>111</v>
      </c>
      <c r="K12" s="112" t="s">
        <v>803</v>
      </c>
    </row>
    <row r="13" spans="1:12" ht="15" x14ac:dyDescent="0.25">
      <c r="A13" s="1" t="s">
        <v>119</v>
      </c>
      <c r="B13" s="72" t="s">
        <v>222</v>
      </c>
      <c r="C13" s="72" t="s">
        <v>351</v>
      </c>
      <c r="D13" s="1" t="s">
        <v>120</v>
      </c>
      <c r="E13" s="73" t="s">
        <v>111</v>
      </c>
      <c r="F13" s="73" t="s">
        <v>336</v>
      </c>
      <c r="G13" s="131"/>
      <c r="H13" s="72" t="s">
        <v>1241</v>
      </c>
      <c r="I13" s="72" t="s">
        <v>1242</v>
      </c>
      <c r="J13" s="112">
        <v>112</v>
      </c>
      <c r="K13" s="112" t="s">
        <v>803</v>
      </c>
    </row>
    <row r="14" spans="1:12" ht="15" x14ac:dyDescent="0.25">
      <c r="A14" s="1" t="s">
        <v>145</v>
      </c>
      <c r="B14" s="72" t="s">
        <v>223</v>
      </c>
      <c r="C14" s="72" t="s">
        <v>353</v>
      </c>
      <c r="D14" s="1" t="s">
        <v>150</v>
      </c>
      <c r="E14" s="73" t="s">
        <v>118</v>
      </c>
      <c r="F14" s="73" t="s">
        <v>338</v>
      </c>
      <c r="G14" s="131"/>
      <c r="H14" s="72" t="s">
        <v>1353</v>
      </c>
      <c r="I14" s="72" t="s">
        <v>1355</v>
      </c>
      <c r="J14" s="112">
        <v>113</v>
      </c>
      <c r="K14" s="112" t="s">
        <v>803</v>
      </c>
    </row>
    <row r="15" spans="1:12" ht="15" x14ac:dyDescent="0.25">
      <c r="B15" s="72" t="s">
        <v>224</v>
      </c>
      <c r="C15" s="72" t="s">
        <v>355</v>
      </c>
      <c r="E15" s="73" t="s">
        <v>112</v>
      </c>
      <c r="F15" s="73" t="s">
        <v>340</v>
      </c>
      <c r="G15" s="132"/>
      <c r="H15" s="72" t="s">
        <v>1354</v>
      </c>
      <c r="I15" s="72" t="s">
        <v>1356</v>
      </c>
      <c r="J15" s="112">
        <v>114</v>
      </c>
      <c r="K15" s="112" t="s">
        <v>803</v>
      </c>
    </row>
    <row r="16" spans="1:12" ht="15" x14ac:dyDescent="0.25">
      <c r="B16" s="72" t="s">
        <v>225</v>
      </c>
      <c r="C16" s="72" t="s">
        <v>357</v>
      </c>
      <c r="E16" s="73" t="s">
        <v>113</v>
      </c>
      <c r="F16" s="73" t="s">
        <v>342</v>
      </c>
      <c r="G16" s="132"/>
      <c r="H16" s="72" t="s">
        <v>56</v>
      </c>
      <c r="I16" s="72" t="s">
        <v>58</v>
      </c>
      <c r="J16" s="112">
        <v>115</v>
      </c>
      <c r="K16" s="112" t="s">
        <v>803</v>
      </c>
    </row>
    <row r="17" spans="2:11" ht="15" x14ac:dyDescent="0.25">
      <c r="B17" s="72" t="s">
        <v>1224</v>
      </c>
      <c r="C17" s="72" t="s">
        <v>1226</v>
      </c>
      <c r="E17" s="73" t="s">
        <v>114</v>
      </c>
      <c r="F17" s="73" t="s">
        <v>344</v>
      </c>
      <c r="G17" s="132" t="s">
        <v>122</v>
      </c>
      <c r="H17" s="14" t="s">
        <v>1269</v>
      </c>
      <c r="I17" s="14" t="s">
        <v>1270</v>
      </c>
      <c r="J17" s="112">
        <v>116</v>
      </c>
      <c r="K17" s="112" t="s">
        <v>803</v>
      </c>
    </row>
    <row r="18" spans="2:11" ht="15" x14ac:dyDescent="0.25">
      <c r="B18" s="72" t="s">
        <v>1225</v>
      </c>
      <c r="C18" s="72" t="s">
        <v>1227</v>
      </c>
      <c r="E18" s="73" t="s">
        <v>115</v>
      </c>
      <c r="F18" s="73" t="s">
        <v>346</v>
      </c>
      <c r="G18" s="131" t="s">
        <v>98</v>
      </c>
      <c r="H18" s="14" t="s">
        <v>1271</v>
      </c>
      <c r="I18" s="14" t="s">
        <v>1272</v>
      </c>
      <c r="J18" s="112">
        <v>117</v>
      </c>
      <c r="K18" s="112" t="s">
        <v>803</v>
      </c>
    </row>
    <row r="19" spans="2:11" ht="15" x14ac:dyDescent="0.25">
      <c r="B19" s="72"/>
      <c r="C19" s="72"/>
      <c r="E19" s="73" t="s">
        <v>116</v>
      </c>
      <c r="F19" s="73" t="s">
        <v>348</v>
      </c>
      <c r="G19" s="131" t="s">
        <v>363</v>
      </c>
      <c r="H19" s="14" t="s">
        <v>1273</v>
      </c>
      <c r="I19" s="14" t="s">
        <v>1274</v>
      </c>
      <c r="J19" s="112">
        <v>118</v>
      </c>
      <c r="K19" s="112" t="s">
        <v>803</v>
      </c>
    </row>
    <row r="20" spans="2:11" ht="12.75" customHeight="1" x14ac:dyDescent="0.25">
      <c r="B20" s="72"/>
      <c r="C20" s="72"/>
      <c r="E20" s="73" t="s">
        <v>117</v>
      </c>
      <c r="F20" s="73" t="s">
        <v>350</v>
      </c>
      <c r="G20" s="131" t="s">
        <v>364</v>
      </c>
      <c r="H20" s="14" t="s">
        <v>1275</v>
      </c>
      <c r="I20" s="14" t="s">
        <v>1276</v>
      </c>
      <c r="J20" s="112">
        <v>119</v>
      </c>
      <c r="K20" s="112" t="s">
        <v>803</v>
      </c>
    </row>
    <row r="21" spans="2:11" ht="15" x14ac:dyDescent="0.25">
      <c r="B21" s="72"/>
      <c r="C21" s="72"/>
      <c r="E21" s="73" t="s">
        <v>226</v>
      </c>
      <c r="F21" s="73" t="s">
        <v>352</v>
      </c>
      <c r="G21" s="131" t="s">
        <v>367</v>
      </c>
      <c r="H21" s="14" t="s">
        <v>40</v>
      </c>
      <c r="I21" s="14" t="s">
        <v>52</v>
      </c>
      <c r="J21" s="112">
        <v>120</v>
      </c>
      <c r="K21" s="112" t="s">
        <v>803</v>
      </c>
    </row>
    <row r="22" spans="2:11" ht="15" x14ac:dyDescent="0.25">
      <c r="B22" s="72"/>
      <c r="C22" s="72"/>
      <c r="E22" s="73" t="s">
        <v>227</v>
      </c>
      <c r="F22" s="73" t="s">
        <v>354</v>
      </c>
      <c r="G22" s="131" t="s">
        <v>802</v>
      </c>
      <c r="H22" s="14" t="s">
        <v>41</v>
      </c>
      <c r="I22" s="14" t="s">
        <v>53</v>
      </c>
      <c r="J22" s="112">
        <v>121</v>
      </c>
      <c r="K22" s="112" t="s">
        <v>803</v>
      </c>
    </row>
    <row r="23" spans="2:11" ht="15" x14ac:dyDescent="0.25">
      <c r="B23" s="72"/>
      <c r="C23" s="72"/>
      <c r="E23" s="73" t="s">
        <v>228</v>
      </c>
      <c r="F23" s="73" t="s">
        <v>356</v>
      </c>
      <c r="G23" s="132"/>
      <c r="H23" s="14" t="s">
        <v>57</v>
      </c>
      <c r="I23" s="14" t="s">
        <v>59</v>
      </c>
      <c r="J23" s="112">
        <v>122</v>
      </c>
      <c r="K23" s="112" t="s">
        <v>803</v>
      </c>
    </row>
    <row r="24" spans="2:11" ht="15" x14ac:dyDescent="0.25">
      <c r="B24" s="132" t="s">
        <v>1596</v>
      </c>
      <c r="C24" s="132" t="s">
        <v>1597</v>
      </c>
      <c r="E24" s="73" t="s">
        <v>229</v>
      </c>
      <c r="F24" s="73" t="s">
        <v>358</v>
      </c>
      <c r="G24" s="132"/>
      <c r="H24" s="132" t="s">
        <v>29</v>
      </c>
      <c r="I24" s="132" t="s">
        <v>1277</v>
      </c>
      <c r="J24" s="112">
        <v>123</v>
      </c>
      <c r="K24" s="112" t="s">
        <v>803</v>
      </c>
    </row>
    <row r="25" spans="2:11" ht="15" x14ac:dyDescent="0.25">
      <c r="B25" s="11"/>
      <c r="C25" s="11"/>
      <c r="E25" s="73" t="s">
        <v>1228</v>
      </c>
      <c r="F25" s="73" t="s">
        <v>1231</v>
      </c>
      <c r="G25" s="132"/>
      <c r="H25" s="132"/>
      <c r="I25" s="132"/>
      <c r="J25" s="112">
        <v>124</v>
      </c>
      <c r="K25" s="112"/>
    </row>
    <row r="26" spans="2:11" ht="15" x14ac:dyDescent="0.25">
      <c r="B26" s="11"/>
      <c r="C26" s="11"/>
      <c r="E26" s="73" t="s">
        <v>1229</v>
      </c>
      <c r="F26" s="73" t="s">
        <v>1230</v>
      </c>
      <c r="G26" s="132"/>
      <c r="H26" s="132"/>
      <c r="I26" s="132"/>
      <c r="J26" s="112">
        <v>125</v>
      </c>
      <c r="K26" s="112"/>
    </row>
    <row r="27" spans="2:11" ht="15" x14ac:dyDescent="0.25">
      <c r="B27" s="11"/>
      <c r="C27" s="11"/>
      <c r="E27" s="73"/>
      <c r="F27" s="73"/>
      <c r="G27" s="132"/>
      <c r="H27" s="132"/>
      <c r="I27" s="132"/>
      <c r="J27" s="112">
        <v>126</v>
      </c>
      <c r="K27" s="112"/>
    </row>
    <row r="28" spans="2:11" ht="15" x14ac:dyDescent="0.25">
      <c r="B28" s="11"/>
      <c r="C28" s="11"/>
      <c r="E28" s="73"/>
      <c r="F28" s="73"/>
      <c r="G28" s="132"/>
      <c r="H28" s="132"/>
      <c r="I28" s="132"/>
      <c r="J28" s="112">
        <v>127</v>
      </c>
      <c r="K28" s="112"/>
    </row>
    <row r="29" spans="2:11" ht="15" x14ac:dyDescent="0.25">
      <c r="B29" s="11"/>
      <c r="C29" s="11"/>
      <c r="G29" s="132"/>
      <c r="H29" s="132"/>
      <c r="I29" s="132"/>
      <c r="J29" s="112">
        <v>128</v>
      </c>
      <c r="K29" s="112"/>
    </row>
    <row r="30" spans="2:11" ht="15" x14ac:dyDescent="0.25">
      <c r="B30" s="11"/>
      <c r="C30" s="11"/>
      <c r="G30" s="132"/>
      <c r="H30" s="132"/>
      <c r="I30" s="132"/>
      <c r="J30" s="112">
        <v>129</v>
      </c>
      <c r="K30" s="112"/>
    </row>
    <row r="31" spans="2:11" ht="15" x14ac:dyDescent="0.25">
      <c r="B31" s="11"/>
      <c r="C31" s="11"/>
      <c r="G31" s="132"/>
      <c r="H31" s="132"/>
      <c r="I31" s="132" t="s">
        <v>334</v>
      </c>
      <c r="J31" s="112">
        <v>130</v>
      </c>
      <c r="K31" s="112"/>
    </row>
    <row r="32" spans="2:11" ht="15" x14ac:dyDescent="0.25">
      <c r="B32" s="11"/>
      <c r="C32" s="11"/>
      <c r="G32" s="132"/>
      <c r="H32" s="132"/>
      <c r="I32" s="132" t="s">
        <v>334</v>
      </c>
      <c r="J32" s="112">
        <v>131</v>
      </c>
      <c r="K32" s="112"/>
    </row>
    <row r="33" spans="3:15" ht="15" x14ac:dyDescent="0.25">
      <c r="C33" s="27"/>
      <c r="E33" s="11"/>
      <c r="F33" s="27"/>
      <c r="G33" s="132" t="s">
        <v>122</v>
      </c>
      <c r="H33" s="72" t="s">
        <v>1247</v>
      </c>
      <c r="I33" s="72" t="s">
        <v>1248</v>
      </c>
      <c r="J33" s="112">
        <v>132</v>
      </c>
      <c r="K33" s="112" t="s">
        <v>368</v>
      </c>
      <c r="M33" t="s">
        <v>1357</v>
      </c>
      <c r="N33" t="s">
        <v>1358</v>
      </c>
    </row>
    <row r="34" spans="3:15" ht="15" x14ac:dyDescent="0.25">
      <c r="C34" s="27"/>
      <c r="F34" s="27"/>
      <c r="G34" s="131" t="s">
        <v>99</v>
      </c>
      <c r="H34" s="72" t="s">
        <v>1249</v>
      </c>
      <c r="I34" s="72" t="s">
        <v>1250</v>
      </c>
      <c r="J34" s="112">
        <v>133</v>
      </c>
      <c r="K34" s="112" t="s">
        <v>804</v>
      </c>
      <c r="M34" t="s">
        <v>803</v>
      </c>
      <c r="N34" t="s">
        <v>803</v>
      </c>
      <c r="O34" t="s">
        <v>1359</v>
      </c>
    </row>
    <row r="35" spans="3:15" ht="15" x14ac:dyDescent="0.25">
      <c r="C35" s="27"/>
      <c r="E35" s="26"/>
      <c r="F35" s="27"/>
      <c r="G35" s="131" t="s">
        <v>361</v>
      </c>
      <c r="H35" s="72" t="s">
        <v>1251</v>
      </c>
      <c r="I35" s="72" t="s">
        <v>1252</v>
      </c>
      <c r="J35" s="112">
        <v>134</v>
      </c>
      <c r="K35" s="112" t="s">
        <v>368</v>
      </c>
      <c r="M35" t="s">
        <v>803</v>
      </c>
      <c r="N35" t="s">
        <v>803</v>
      </c>
      <c r="O35" t="s">
        <v>1360</v>
      </c>
    </row>
    <row r="36" spans="3:15" ht="12.75" customHeight="1" x14ac:dyDescent="0.25">
      <c r="C36" s="27"/>
      <c r="E36" s="26"/>
      <c r="F36" s="27"/>
      <c r="G36" s="131" t="s">
        <v>362</v>
      </c>
      <c r="H36" s="72" t="s">
        <v>1255</v>
      </c>
      <c r="I36" s="72" t="s">
        <v>1256</v>
      </c>
      <c r="J36" s="112">
        <v>135</v>
      </c>
      <c r="K36" s="112" t="s">
        <v>803</v>
      </c>
      <c r="M36" t="s">
        <v>803</v>
      </c>
      <c r="N36" t="s">
        <v>803</v>
      </c>
      <c r="O36" t="s">
        <v>1361</v>
      </c>
    </row>
    <row r="37" spans="3:15" ht="15" x14ac:dyDescent="0.25">
      <c r="C37" s="27"/>
      <c r="E37" s="26"/>
      <c r="F37" s="27"/>
      <c r="G37" s="131" t="s">
        <v>1314</v>
      </c>
      <c r="H37" s="72" t="s">
        <v>1261</v>
      </c>
      <c r="I37" s="72" t="s">
        <v>1262</v>
      </c>
      <c r="J37" s="112">
        <v>136</v>
      </c>
      <c r="K37" s="112" t="s">
        <v>819</v>
      </c>
      <c r="M37" t="s">
        <v>803</v>
      </c>
      <c r="N37" t="s">
        <v>803</v>
      </c>
      <c r="O37" t="s">
        <v>1362</v>
      </c>
    </row>
    <row r="38" spans="3:15" ht="15" x14ac:dyDescent="0.25">
      <c r="C38" s="158"/>
      <c r="E38" s="26"/>
      <c r="F38" s="27"/>
      <c r="G38" s="131" t="s">
        <v>802</v>
      </c>
      <c r="H38" s="72" t="s">
        <v>1263</v>
      </c>
      <c r="I38" s="72" t="s">
        <v>1264</v>
      </c>
      <c r="J38" s="112">
        <v>137</v>
      </c>
      <c r="K38" s="112" t="s">
        <v>819</v>
      </c>
      <c r="M38" t="s">
        <v>803</v>
      </c>
      <c r="N38" t="s">
        <v>819</v>
      </c>
      <c r="O38" t="s">
        <v>1363</v>
      </c>
    </row>
    <row r="39" spans="3:15" ht="15" x14ac:dyDescent="0.25">
      <c r="C39" s="27"/>
      <c r="F39" s="27"/>
      <c r="G39" s="132"/>
      <c r="H39" s="72" t="s">
        <v>1265</v>
      </c>
      <c r="I39" s="72" t="s">
        <v>1266</v>
      </c>
      <c r="J39" s="112">
        <v>138</v>
      </c>
      <c r="K39" s="112" t="s">
        <v>803</v>
      </c>
      <c r="M39" t="s">
        <v>803</v>
      </c>
      <c r="N39" t="s">
        <v>819</v>
      </c>
      <c r="O39" t="s">
        <v>1364</v>
      </c>
    </row>
    <row r="40" spans="3:15" ht="15" x14ac:dyDescent="0.25">
      <c r="C40" s="27"/>
      <c r="F40" s="27"/>
      <c r="G40" s="132"/>
      <c r="H40" s="72" t="s">
        <v>1267</v>
      </c>
      <c r="I40" s="72" t="s">
        <v>1268</v>
      </c>
      <c r="J40" s="112">
        <v>139</v>
      </c>
      <c r="K40" s="112" t="s">
        <v>803</v>
      </c>
      <c r="M40" t="s">
        <v>819</v>
      </c>
      <c r="N40" t="s">
        <v>803</v>
      </c>
      <c r="O40" t="s">
        <v>1365</v>
      </c>
    </row>
    <row r="41" spans="3:15" ht="15" x14ac:dyDescent="0.25">
      <c r="C41" s="27"/>
      <c r="F41" s="27"/>
      <c r="G41" s="132"/>
      <c r="H41" s="72" t="s">
        <v>1381</v>
      </c>
      <c r="I41" s="72" t="s">
        <v>1394</v>
      </c>
      <c r="J41" s="112">
        <v>140</v>
      </c>
      <c r="K41" s="112" t="s">
        <v>819</v>
      </c>
      <c r="M41" t="s">
        <v>819</v>
      </c>
      <c r="N41" t="s">
        <v>803</v>
      </c>
      <c r="O41" t="s">
        <v>1366</v>
      </c>
    </row>
    <row r="42" spans="3:15" ht="15" x14ac:dyDescent="0.25">
      <c r="C42" s="27"/>
      <c r="F42" s="27"/>
      <c r="G42" s="132"/>
      <c r="H42" s="72" t="s">
        <v>1382</v>
      </c>
      <c r="I42" s="72" t="s">
        <v>1393</v>
      </c>
      <c r="J42" s="112">
        <v>141</v>
      </c>
      <c r="K42" s="112" t="s">
        <v>819</v>
      </c>
      <c r="M42" t="s">
        <v>409</v>
      </c>
      <c r="N42" t="s">
        <v>819</v>
      </c>
      <c r="O42" t="s">
        <v>1367</v>
      </c>
    </row>
    <row r="43" spans="3:15" ht="15" x14ac:dyDescent="0.25">
      <c r="C43" s="27"/>
      <c r="F43" s="27"/>
      <c r="G43" s="132"/>
      <c r="H43" s="72" t="s">
        <v>1383</v>
      </c>
      <c r="I43" s="72" t="s">
        <v>1392</v>
      </c>
      <c r="J43" s="112">
        <v>142</v>
      </c>
      <c r="K43" s="112" t="s">
        <v>409</v>
      </c>
      <c r="M43" t="s">
        <v>409</v>
      </c>
      <c r="N43" t="s">
        <v>819</v>
      </c>
      <c r="O43" t="s">
        <v>1368</v>
      </c>
    </row>
    <row r="44" spans="3:15" ht="15" x14ac:dyDescent="0.25">
      <c r="C44" s="27"/>
      <c r="F44" s="27"/>
      <c r="G44" s="132"/>
      <c r="H44" s="72" t="s">
        <v>1384</v>
      </c>
      <c r="I44" s="72" t="s">
        <v>1391</v>
      </c>
      <c r="J44" s="112">
        <v>143</v>
      </c>
      <c r="K44" s="112" t="s">
        <v>409</v>
      </c>
      <c r="M44" t="s">
        <v>819</v>
      </c>
      <c r="N44" t="s">
        <v>409</v>
      </c>
      <c r="O44" t="s">
        <v>1369</v>
      </c>
    </row>
    <row r="45" spans="3:15" ht="15" x14ac:dyDescent="0.25">
      <c r="C45" s="27"/>
      <c r="F45" s="27"/>
      <c r="G45" s="132"/>
      <c r="H45" s="72" t="s">
        <v>1385</v>
      </c>
      <c r="I45" s="72" t="s">
        <v>1390</v>
      </c>
      <c r="J45" s="112">
        <v>144</v>
      </c>
      <c r="K45" s="112" t="s">
        <v>819</v>
      </c>
      <c r="M45" t="s">
        <v>819</v>
      </c>
      <c r="N45" t="s">
        <v>409</v>
      </c>
      <c r="O45" t="s">
        <v>1370</v>
      </c>
    </row>
    <row r="46" spans="3:15" ht="15" x14ac:dyDescent="0.25">
      <c r="C46" s="27"/>
      <c r="F46" s="27"/>
      <c r="G46" s="132"/>
      <c r="H46" s="72" t="s">
        <v>1386</v>
      </c>
      <c r="I46" s="72" t="s">
        <v>1389</v>
      </c>
      <c r="J46" s="112">
        <v>145</v>
      </c>
      <c r="K46" s="112" t="s">
        <v>819</v>
      </c>
      <c r="M46" t="s">
        <v>409</v>
      </c>
      <c r="N46" t="s">
        <v>819</v>
      </c>
      <c r="O46" t="s">
        <v>1371</v>
      </c>
    </row>
    <row r="47" spans="3:15" ht="15" x14ac:dyDescent="0.25">
      <c r="C47" s="27"/>
      <c r="G47" s="132"/>
      <c r="H47" s="72" t="s">
        <v>1387</v>
      </c>
      <c r="I47" s="72" t="s">
        <v>1388</v>
      </c>
      <c r="J47" s="112">
        <v>146</v>
      </c>
      <c r="K47" s="112" t="s">
        <v>409</v>
      </c>
      <c r="M47" t="s">
        <v>409</v>
      </c>
      <c r="N47" t="s">
        <v>819</v>
      </c>
      <c r="O47" t="s">
        <v>1372</v>
      </c>
    </row>
    <row r="48" spans="3:15" ht="15" x14ac:dyDescent="0.25">
      <c r="C48" s="27"/>
      <c r="G48" s="132"/>
      <c r="H48" s="72" t="s">
        <v>1395</v>
      </c>
      <c r="I48" s="72" t="s">
        <v>1396</v>
      </c>
      <c r="J48" s="112">
        <v>147</v>
      </c>
      <c r="K48" s="112" t="s">
        <v>409</v>
      </c>
      <c r="M48" t="s">
        <v>819</v>
      </c>
      <c r="N48" t="s">
        <v>409</v>
      </c>
      <c r="O48" t="s">
        <v>1373</v>
      </c>
    </row>
    <row r="49" spans="3:17" ht="15" x14ac:dyDescent="0.25">
      <c r="C49" s="27"/>
      <c r="G49" s="132" t="s">
        <v>122</v>
      </c>
      <c r="H49" s="14" t="s">
        <v>30</v>
      </c>
      <c r="I49" s="14" t="s">
        <v>1412</v>
      </c>
      <c r="J49" s="112">
        <v>148</v>
      </c>
      <c r="K49" s="112" t="s">
        <v>803</v>
      </c>
      <c r="M49" t="s">
        <v>819</v>
      </c>
      <c r="N49" t="s">
        <v>409</v>
      </c>
      <c r="O49" t="s">
        <v>1374</v>
      </c>
    </row>
    <row r="50" spans="3:17" ht="15" x14ac:dyDescent="0.25">
      <c r="C50" s="27"/>
      <c r="G50" s="131" t="s">
        <v>100</v>
      </c>
      <c r="H50" s="14" t="s">
        <v>805</v>
      </c>
      <c r="I50" s="14" t="s">
        <v>1302</v>
      </c>
      <c r="J50" s="112">
        <v>149</v>
      </c>
      <c r="K50" s="112" t="s">
        <v>803</v>
      </c>
      <c r="M50" t="s">
        <v>819</v>
      </c>
      <c r="N50" t="s">
        <v>1375</v>
      </c>
      <c r="O50" t="s">
        <v>1376</v>
      </c>
    </row>
    <row r="51" spans="3:17" ht="15" x14ac:dyDescent="0.25">
      <c r="C51" s="27"/>
      <c r="G51" s="131" t="s">
        <v>639</v>
      </c>
      <c r="H51" s="14" t="s">
        <v>623</v>
      </c>
      <c r="I51" s="14" t="s">
        <v>1303</v>
      </c>
      <c r="J51" s="112">
        <v>150</v>
      </c>
      <c r="K51" s="112" t="s">
        <v>803</v>
      </c>
      <c r="M51" t="s">
        <v>819</v>
      </c>
      <c r="N51" t="s">
        <v>1375</v>
      </c>
      <c r="O51" t="s">
        <v>1377</v>
      </c>
    </row>
    <row r="52" spans="3:17" ht="15" x14ac:dyDescent="0.25">
      <c r="C52" s="27"/>
      <c r="G52" s="131" t="s">
        <v>640</v>
      </c>
      <c r="H52" s="14" t="s">
        <v>33</v>
      </c>
      <c r="I52" s="14" t="s">
        <v>1413</v>
      </c>
      <c r="J52" s="112">
        <v>151</v>
      </c>
      <c r="K52" s="112" t="s">
        <v>409</v>
      </c>
      <c r="M52" t="s">
        <v>1375</v>
      </c>
      <c r="N52" t="s">
        <v>819</v>
      </c>
      <c r="O52" t="s">
        <v>1378</v>
      </c>
    </row>
    <row r="53" spans="3:17" ht="15" x14ac:dyDescent="0.25">
      <c r="C53" s="27"/>
      <c r="G53" s="131" t="s">
        <v>367</v>
      </c>
      <c r="H53" s="14" t="s">
        <v>34</v>
      </c>
      <c r="I53" s="14" t="s">
        <v>395</v>
      </c>
      <c r="J53" s="112">
        <v>152</v>
      </c>
      <c r="K53" s="112" t="s">
        <v>409</v>
      </c>
      <c r="M53" t="s">
        <v>1375</v>
      </c>
      <c r="N53" t="s">
        <v>819</v>
      </c>
      <c r="O53" t="s">
        <v>1379</v>
      </c>
      <c r="Q53" t="s">
        <v>1380</v>
      </c>
    </row>
    <row r="54" spans="3:17" ht="15" x14ac:dyDescent="0.25">
      <c r="C54" s="27"/>
      <c r="G54" s="131" t="s">
        <v>804</v>
      </c>
      <c r="H54" s="14" t="s">
        <v>35</v>
      </c>
      <c r="I54" s="14" t="s">
        <v>360</v>
      </c>
      <c r="J54" s="112">
        <v>153</v>
      </c>
      <c r="K54" s="112" t="s">
        <v>409</v>
      </c>
    </row>
    <row r="55" spans="3:17" ht="15" x14ac:dyDescent="0.25">
      <c r="C55" s="27"/>
      <c r="G55" s="132"/>
      <c r="H55" s="14" t="s">
        <v>811</v>
      </c>
      <c r="I55" s="14" t="s">
        <v>1414</v>
      </c>
      <c r="J55" s="112">
        <v>154</v>
      </c>
      <c r="K55" s="112" t="s">
        <v>819</v>
      </c>
    </row>
    <row r="56" spans="3:17" ht="15" x14ac:dyDescent="0.25">
      <c r="C56" s="27"/>
      <c r="G56" s="132"/>
      <c r="H56" s="14" t="s">
        <v>1257</v>
      </c>
      <c r="I56" s="14" t="s">
        <v>1258</v>
      </c>
      <c r="J56" s="112">
        <v>155</v>
      </c>
      <c r="K56" s="112" t="s">
        <v>819</v>
      </c>
    </row>
    <row r="57" spans="3:17" ht="15" x14ac:dyDescent="0.25">
      <c r="C57" s="27"/>
      <c r="G57" s="132"/>
      <c r="H57" s="14" t="s">
        <v>1259</v>
      </c>
      <c r="I57" s="14" t="s">
        <v>1260</v>
      </c>
      <c r="J57" s="112">
        <v>156</v>
      </c>
      <c r="K57" s="112" t="s">
        <v>819</v>
      </c>
    </row>
    <row r="58" spans="3:17" ht="15" x14ac:dyDescent="0.25">
      <c r="C58" s="27"/>
      <c r="G58" s="132"/>
      <c r="H58" s="14" t="s">
        <v>806</v>
      </c>
      <c r="I58" s="14" t="s">
        <v>581</v>
      </c>
      <c r="J58" s="112">
        <v>157</v>
      </c>
      <c r="K58" s="112" t="s">
        <v>803</v>
      </c>
    </row>
    <row r="59" spans="3:17" ht="15" x14ac:dyDescent="0.25">
      <c r="C59" s="27"/>
      <c r="G59" s="132"/>
      <c r="H59" s="14" t="s">
        <v>38</v>
      </c>
      <c r="I59" s="14" t="s">
        <v>1415</v>
      </c>
      <c r="J59" s="112">
        <v>158</v>
      </c>
      <c r="K59" s="112" t="s">
        <v>803</v>
      </c>
    </row>
    <row r="60" spans="3:17" ht="15" x14ac:dyDescent="0.25">
      <c r="C60" s="27"/>
      <c r="G60" s="132"/>
      <c r="H60" s="14" t="s">
        <v>807</v>
      </c>
      <c r="I60" s="14" t="s">
        <v>809</v>
      </c>
      <c r="J60" s="112">
        <v>159</v>
      </c>
      <c r="K60" s="112" t="s">
        <v>803</v>
      </c>
    </row>
    <row r="61" spans="3:17" ht="15" x14ac:dyDescent="0.25">
      <c r="C61" s="27"/>
      <c r="G61" s="132"/>
      <c r="H61" s="14" t="s">
        <v>39</v>
      </c>
      <c r="I61" s="14" t="s">
        <v>628</v>
      </c>
      <c r="J61" s="112">
        <v>160</v>
      </c>
      <c r="K61" s="112" t="s">
        <v>803</v>
      </c>
    </row>
    <row r="62" spans="3:17" ht="15" x14ac:dyDescent="0.25">
      <c r="C62" s="27"/>
      <c r="G62" s="132"/>
      <c r="H62" s="14" t="s">
        <v>808</v>
      </c>
      <c r="I62" s="14" t="s">
        <v>810</v>
      </c>
      <c r="J62" s="112">
        <v>161</v>
      </c>
      <c r="K62" s="112" t="s">
        <v>803</v>
      </c>
    </row>
    <row r="63" spans="3:17" ht="15" x14ac:dyDescent="0.25">
      <c r="C63" s="27"/>
      <c r="G63" s="132"/>
      <c r="H63" s="14" t="s">
        <v>1351</v>
      </c>
      <c r="I63" s="14" t="s">
        <v>1416</v>
      </c>
      <c r="J63" s="112">
        <v>162</v>
      </c>
      <c r="K63" s="112" t="s">
        <v>803</v>
      </c>
    </row>
    <row r="64" spans="3:17" ht="15" x14ac:dyDescent="0.25">
      <c r="C64" s="27"/>
      <c r="G64" s="132"/>
      <c r="H64" s="14" t="s">
        <v>1352</v>
      </c>
      <c r="I64" s="14" t="s">
        <v>1417</v>
      </c>
      <c r="J64" s="112">
        <v>163</v>
      </c>
      <c r="K64" s="112" t="s">
        <v>803</v>
      </c>
    </row>
    <row r="65" spans="3:11" ht="15" x14ac:dyDescent="0.25">
      <c r="C65" s="27"/>
      <c r="G65" s="132" t="s">
        <v>122</v>
      </c>
      <c r="H65" s="72" t="s">
        <v>42</v>
      </c>
      <c r="I65" s="72" t="s">
        <v>54</v>
      </c>
      <c r="J65" s="112">
        <v>164</v>
      </c>
      <c r="K65" s="112" t="s">
        <v>803</v>
      </c>
    </row>
    <row r="66" spans="3:11" ht="15" x14ac:dyDescent="0.25">
      <c r="C66" s="27"/>
      <c r="G66" s="131" t="s">
        <v>1280</v>
      </c>
      <c r="H66" s="72" t="s">
        <v>43</v>
      </c>
      <c r="I66" s="72" t="s">
        <v>55</v>
      </c>
      <c r="J66" s="112">
        <v>165</v>
      </c>
      <c r="K66" s="112" t="s">
        <v>803</v>
      </c>
    </row>
    <row r="67" spans="3:11" ht="15" x14ac:dyDescent="0.25">
      <c r="C67" s="27"/>
      <c r="G67" s="131" t="s">
        <v>1283</v>
      </c>
      <c r="H67" s="72" t="s">
        <v>1297</v>
      </c>
      <c r="I67" s="72" t="s">
        <v>1298</v>
      </c>
      <c r="J67" s="112">
        <v>166</v>
      </c>
      <c r="K67" s="112" t="s">
        <v>803</v>
      </c>
    </row>
    <row r="68" spans="3:11" ht="15" x14ac:dyDescent="0.25">
      <c r="G68" s="131" t="s">
        <v>1286</v>
      </c>
      <c r="H68" s="72" t="s">
        <v>1300</v>
      </c>
      <c r="I68" s="72" t="s">
        <v>1301</v>
      </c>
      <c r="J68" s="112">
        <v>167</v>
      </c>
      <c r="K68" s="112" t="s">
        <v>803</v>
      </c>
    </row>
    <row r="69" spans="3:11" ht="15" x14ac:dyDescent="0.25">
      <c r="G69" s="131" t="s">
        <v>367</v>
      </c>
      <c r="H69" s="72" t="s">
        <v>44</v>
      </c>
      <c r="I69" s="72" t="s">
        <v>366</v>
      </c>
      <c r="J69" s="112">
        <v>168</v>
      </c>
      <c r="K69" s="112" t="s">
        <v>803</v>
      </c>
    </row>
    <row r="70" spans="3:11" ht="15" x14ac:dyDescent="0.25">
      <c r="G70" s="131" t="s">
        <v>804</v>
      </c>
      <c r="H70" s="72" t="s">
        <v>26</v>
      </c>
      <c r="I70" s="72" t="s">
        <v>1304</v>
      </c>
      <c r="J70" s="112">
        <v>169</v>
      </c>
      <c r="K70" s="112" t="s">
        <v>409</v>
      </c>
    </row>
    <row r="71" spans="3:11" ht="15" x14ac:dyDescent="0.25">
      <c r="G71" s="132"/>
      <c r="H71" s="72" t="s">
        <v>1419</v>
      </c>
      <c r="I71" s="72" t="s">
        <v>1410</v>
      </c>
      <c r="J71" s="112">
        <v>170</v>
      </c>
      <c r="K71" s="112" t="s">
        <v>804</v>
      </c>
    </row>
    <row r="72" spans="3:11" ht="15" x14ac:dyDescent="0.25">
      <c r="G72" s="132"/>
      <c r="H72" s="72" t="s">
        <v>1420</v>
      </c>
      <c r="I72" s="72" t="s">
        <v>1411</v>
      </c>
      <c r="J72" s="112">
        <v>171</v>
      </c>
      <c r="K72" s="112" t="s">
        <v>804</v>
      </c>
    </row>
    <row r="73" spans="3:11" ht="15" x14ac:dyDescent="0.25">
      <c r="G73" s="132"/>
      <c r="H73" s="132"/>
      <c r="I73" s="132"/>
      <c r="J73" s="112">
        <v>172</v>
      </c>
      <c r="K73" s="112"/>
    </row>
    <row r="74" spans="3:11" ht="15" x14ac:dyDescent="0.25">
      <c r="G74" s="132"/>
      <c r="H74" s="132"/>
      <c r="I74" s="132"/>
      <c r="J74" s="112">
        <v>173</v>
      </c>
      <c r="K74" s="112"/>
    </row>
    <row r="75" spans="3:11" ht="15" x14ac:dyDescent="0.25">
      <c r="G75" s="132"/>
      <c r="H75" s="132"/>
      <c r="I75" s="132"/>
      <c r="J75" s="112">
        <v>174</v>
      </c>
      <c r="K75" s="112"/>
    </row>
    <row r="76" spans="3:11" ht="15" x14ac:dyDescent="0.25">
      <c r="G76" s="132"/>
      <c r="H76" s="132"/>
      <c r="I76" s="132"/>
      <c r="J76" s="112">
        <v>175</v>
      </c>
      <c r="K76" s="112"/>
    </row>
    <row r="77" spans="3:11" ht="15" x14ac:dyDescent="0.25">
      <c r="G77" s="132"/>
      <c r="H77" s="132"/>
      <c r="I77" s="132"/>
      <c r="J77" s="112">
        <v>176</v>
      </c>
      <c r="K77" s="112"/>
    </row>
    <row r="78" spans="3:11" ht="15" x14ac:dyDescent="0.25">
      <c r="G78" s="132"/>
      <c r="H78" s="132"/>
      <c r="I78" s="132"/>
      <c r="J78" s="112">
        <v>177</v>
      </c>
      <c r="K78" s="112"/>
    </row>
    <row r="79" spans="3:11" ht="15" x14ac:dyDescent="0.25">
      <c r="F79" s="26"/>
      <c r="G79" s="132"/>
      <c r="H79" s="132"/>
      <c r="I79" s="132" t="s">
        <v>334</v>
      </c>
      <c r="J79" s="112">
        <v>178</v>
      </c>
      <c r="K79" s="112"/>
    </row>
    <row r="80" spans="3:11" ht="15" x14ac:dyDescent="0.25">
      <c r="E80" s="26"/>
      <c r="F80" s="26"/>
      <c r="G80" s="132"/>
      <c r="H80" s="132"/>
      <c r="I80" s="132" t="s">
        <v>334</v>
      </c>
      <c r="J80" s="112">
        <v>179</v>
      </c>
      <c r="K80" s="112"/>
    </row>
    <row r="81" spans="2:11" ht="15" x14ac:dyDescent="0.25">
      <c r="E81" s="26"/>
      <c r="F81" s="26"/>
      <c r="G81" s="132" t="s">
        <v>122</v>
      </c>
      <c r="H81" s="14" t="s">
        <v>1305</v>
      </c>
      <c r="I81" s="14" t="s">
        <v>1306</v>
      </c>
      <c r="J81" s="112">
        <v>180</v>
      </c>
      <c r="K81" s="112" t="s">
        <v>368</v>
      </c>
    </row>
    <row r="82" spans="2:11" ht="15" x14ac:dyDescent="0.25">
      <c r="E82" s="26"/>
      <c r="F82" s="26"/>
      <c r="G82" s="131" t="s">
        <v>1295</v>
      </c>
      <c r="H82" s="14" t="s">
        <v>1308</v>
      </c>
      <c r="I82" s="14" t="s">
        <v>1309</v>
      </c>
      <c r="J82" s="112">
        <v>181</v>
      </c>
      <c r="K82" s="112" t="s">
        <v>804</v>
      </c>
    </row>
    <row r="83" spans="2:11" ht="15" x14ac:dyDescent="0.25">
      <c r="E83" s="26"/>
      <c r="F83" s="26"/>
      <c r="G83" s="131" t="s">
        <v>1296</v>
      </c>
      <c r="H83" s="14" t="s">
        <v>1311</v>
      </c>
      <c r="I83" s="14" t="s">
        <v>1312</v>
      </c>
      <c r="J83" s="112">
        <v>182</v>
      </c>
      <c r="K83" s="112" t="s">
        <v>368</v>
      </c>
    </row>
    <row r="84" spans="2:11" ht="15" x14ac:dyDescent="0.25">
      <c r="E84" s="26"/>
      <c r="F84" s="26" t="s">
        <v>334</v>
      </c>
      <c r="G84" s="131" t="s">
        <v>1299</v>
      </c>
      <c r="H84" s="14" t="s">
        <v>815</v>
      </c>
      <c r="I84" s="14" t="s">
        <v>1408</v>
      </c>
      <c r="J84" s="112">
        <v>183</v>
      </c>
      <c r="K84" s="112" t="s">
        <v>819</v>
      </c>
    </row>
    <row r="85" spans="2:11" ht="15" x14ac:dyDescent="0.25">
      <c r="E85" s="26"/>
      <c r="F85" s="26"/>
      <c r="G85" s="131" t="s">
        <v>1314</v>
      </c>
      <c r="H85" s="14" t="s">
        <v>816</v>
      </c>
      <c r="I85" s="14" t="s">
        <v>1409</v>
      </c>
      <c r="J85" s="112">
        <v>184</v>
      </c>
      <c r="K85" s="112" t="s">
        <v>819</v>
      </c>
    </row>
    <row r="86" spans="2:11" ht="15" x14ac:dyDescent="0.25">
      <c r="E86" s="26"/>
      <c r="F86" s="26"/>
      <c r="G86" s="131" t="s">
        <v>804</v>
      </c>
      <c r="H86" s="14" t="s">
        <v>812</v>
      </c>
      <c r="I86" s="14" t="s">
        <v>813</v>
      </c>
      <c r="J86" s="112">
        <v>185</v>
      </c>
      <c r="K86" s="112" t="s">
        <v>804</v>
      </c>
    </row>
    <row r="87" spans="2:11" ht="15" x14ac:dyDescent="0.25">
      <c r="E87" s="26"/>
      <c r="F87" s="26"/>
      <c r="G87" s="132"/>
      <c r="H87" s="14" t="s">
        <v>130</v>
      </c>
      <c r="I87" s="14" t="s">
        <v>814</v>
      </c>
      <c r="J87" s="112">
        <v>186</v>
      </c>
      <c r="K87" s="112" t="s">
        <v>804</v>
      </c>
    </row>
    <row r="88" spans="2:11" ht="12.75" customHeight="1" x14ac:dyDescent="0.25">
      <c r="E88" s="26"/>
      <c r="F88" s="26"/>
      <c r="G88" s="132"/>
      <c r="H88" s="14"/>
      <c r="I88" s="14"/>
      <c r="J88" s="112">
        <v>187</v>
      </c>
      <c r="K88" s="112"/>
    </row>
    <row r="89" spans="2:11" ht="15" x14ac:dyDescent="0.25">
      <c r="E89" s="26"/>
      <c r="F89" s="26"/>
      <c r="G89" s="132"/>
      <c r="H89" s="14" t="s">
        <v>1315</v>
      </c>
      <c r="I89" s="14" t="s">
        <v>1316</v>
      </c>
      <c r="J89" s="112">
        <v>188</v>
      </c>
      <c r="K89" s="112" t="s">
        <v>803</v>
      </c>
    </row>
    <row r="90" spans="2:11" ht="15" x14ac:dyDescent="0.25">
      <c r="E90" s="26"/>
      <c r="F90" s="26"/>
      <c r="G90" s="132"/>
      <c r="H90" s="14" t="s">
        <v>1317</v>
      </c>
      <c r="I90" s="14" t="s">
        <v>1318</v>
      </c>
      <c r="J90" s="112">
        <v>189</v>
      </c>
      <c r="K90" s="112" t="s">
        <v>803</v>
      </c>
    </row>
    <row r="91" spans="2:11" ht="15" x14ac:dyDescent="0.25">
      <c r="E91" s="26"/>
      <c r="F91" s="26"/>
      <c r="G91" s="132"/>
      <c r="H91" s="14" t="s">
        <v>1319</v>
      </c>
      <c r="I91" s="14" t="s">
        <v>1320</v>
      </c>
      <c r="J91" s="112">
        <v>190</v>
      </c>
      <c r="K91" s="112" t="s">
        <v>803</v>
      </c>
    </row>
    <row r="92" spans="2:11" ht="15" x14ac:dyDescent="0.25">
      <c r="E92" s="26"/>
      <c r="F92" s="26"/>
      <c r="G92" s="132"/>
      <c r="H92" s="14" t="s">
        <v>1321</v>
      </c>
      <c r="I92" s="14" t="s">
        <v>1322</v>
      </c>
      <c r="J92" s="112">
        <v>191</v>
      </c>
      <c r="K92" s="112" t="s">
        <v>803</v>
      </c>
    </row>
    <row r="93" spans="2:11" ht="15" x14ac:dyDescent="0.25">
      <c r="E93" s="26"/>
      <c r="F93" s="26"/>
      <c r="G93" s="132"/>
      <c r="H93" s="14" t="s">
        <v>1323</v>
      </c>
      <c r="I93" s="14" t="s">
        <v>1324</v>
      </c>
      <c r="J93" s="112">
        <v>192</v>
      </c>
      <c r="K93" s="112" t="s">
        <v>819</v>
      </c>
    </row>
    <row r="94" spans="2:11" ht="15" x14ac:dyDescent="0.25">
      <c r="B94" s="10"/>
      <c r="E94" s="26"/>
      <c r="F94" s="26"/>
      <c r="G94" s="132"/>
      <c r="H94" s="14" t="s">
        <v>1325</v>
      </c>
      <c r="I94" s="14" t="s">
        <v>1326</v>
      </c>
      <c r="J94" s="112">
        <v>193</v>
      </c>
      <c r="K94" s="112" t="s">
        <v>819</v>
      </c>
    </row>
    <row r="95" spans="2:11" ht="15" x14ac:dyDescent="0.25">
      <c r="B95" s="10"/>
      <c r="E95" s="26"/>
      <c r="G95" s="132"/>
      <c r="H95" s="14" t="s">
        <v>1327</v>
      </c>
      <c r="I95" s="14" t="s">
        <v>1328</v>
      </c>
      <c r="J95" s="112">
        <v>194</v>
      </c>
      <c r="K95" s="112" t="s">
        <v>803</v>
      </c>
    </row>
    <row r="96" spans="2:11" ht="15" x14ac:dyDescent="0.25">
      <c r="B96" s="10"/>
      <c r="E96" s="26"/>
      <c r="G96" s="132"/>
      <c r="H96" s="14" t="s">
        <v>1329</v>
      </c>
      <c r="I96" s="14" t="s">
        <v>1330</v>
      </c>
      <c r="J96" s="112">
        <v>195</v>
      </c>
      <c r="K96" s="112" t="s">
        <v>803</v>
      </c>
    </row>
    <row r="97" spans="2:11" ht="15" x14ac:dyDescent="0.25">
      <c r="B97" s="10"/>
      <c r="E97" s="26"/>
      <c r="G97" s="132" t="s">
        <v>122</v>
      </c>
      <c r="H97" s="72" t="s">
        <v>1278</v>
      </c>
      <c r="I97" s="72" t="s">
        <v>1279</v>
      </c>
      <c r="J97" s="112">
        <v>196</v>
      </c>
      <c r="K97" s="112" t="s">
        <v>803</v>
      </c>
    </row>
    <row r="98" spans="2:11" ht="15" x14ac:dyDescent="0.25">
      <c r="B98" s="10"/>
      <c r="E98" s="26"/>
      <c r="G98" s="131" t="s">
        <v>1307</v>
      </c>
      <c r="H98" s="72" t="s">
        <v>1281</v>
      </c>
      <c r="I98" s="72" t="s">
        <v>1282</v>
      </c>
      <c r="J98" s="112">
        <v>197</v>
      </c>
      <c r="K98" s="112" t="s">
        <v>803</v>
      </c>
    </row>
    <row r="99" spans="2:11" ht="15" x14ac:dyDescent="0.25">
      <c r="B99" s="10"/>
      <c r="E99" s="26"/>
      <c r="G99" s="131" t="s">
        <v>1310</v>
      </c>
      <c r="H99" s="72" t="s">
        <v>1284</v>
      </c>
      <c r="I99" s="72" t="s">
        <v>1285</v>
      </c>
      <c r="J99" s="112">
        <v>198</v>
      </c>
      <c r="K99" s="112" t="s">
        <v>803</v>
      </c>
    </row>
    <row r="100" spans="2:11" ht="15" x14ac:dyDescent="0.25">
      <c r="B100" s="10"/>
      <c r="E100" s="26"/>
      <c r="G100" s="131" t="s">
        <v>1313</v>
      </c>
      <c r="H100" s="72" t="s">
        <v>1287</v>
      </c>
      <c r="I100" s="72" t="s">
        <v>1288</v>
      </c>
      <c r="J100" s="112">
        <v>199</v>
      </c>
      <c r="K100" s="112" t="s">
        <v>803</v>
      </c>
    </row>
    <row r="101" spans="2:11" ht="15" x14ac:dyDescent="0.25">
      <c r="B101" s="10"/>
      <c r="E101" s="26"/>
      <c r="G101" s="131" t="s">
        <v>367</v>
      </c>
      <c r="H101" s="72" t="s">
        <v>45</v>
      </c>
      <c r="I101" s="72" t="s">
        <v>410</v>
      </c>
      <c r="J101" s="112">
        <v>200</v>
      </c>
      <c r="K101" s="112" t="s">
        <v>803</v>
      </c>
    </row>
    <row r="102" spans="2:11" ht="15" x14ac:dyDescent="0.25">
      <c r="B102" s="10"/>
      <c r="E102" s="26"/>
      <c r="G102" s="131" t="s">
        <v>368</v>
      </c>
      <c r="H102" s="72" t="s">
        <v>46</v>
      </c>
      <c r="I102" s="72" t="s">
        <v>411</v>
      </c>
      <c r="J102" s="112">
        <v>201</v>
      </c>
      <c r="K102" s="112" t="s">
        <v>803</v>
      </c>
    </row>
    <row r="103" spans="2:11" ht="15" x14ac:dyDescent="0.25">
      <c r="B103" s="10"/>
      <c r="E103" s="26"/>
      <c r="G103" s="132"/>
      <c r="H103" s="72" t="s">
        <v>47</v>
      </c>
      <c r="I103" s="72" t="s">
        <v>60</v>
      </c>
      <c r="J103" s="112">
        <v>202</v>
      </c>
      <c r="K103" s="112" t="s">
        <v>803</v>
      </c>
    </row>
    <row r="104" spans="2:11" ht="15" customHeight="1" x14ac:dyDescent="0.25">
      <c r="B104" s="10"/>
      <c r="G104" s="132"/>
      <c r="H104" s="132" t="s">
        <v>406</v>
      </c>
      <c r="I104" s="132" t="s">
        <v>359</v>
      </c>
      <c r="J104" s="112">
        <v>203</v>
      </c>
      <c r="K104" s="112" t="s">
        <v>803</v>
      </c>
    </row>
    <row r="105" spans="2:11" ht="15" x14ac:dyDescent="0.25">
      <c r="B105" s="10"/>
      <c r="G105" s="132"/>
      <c r="H105" s="72" t="s">
        <v>1289</v>
      </c>
      <c r="I105" s="72" t="s">
        <v>1290</v>
      </c>
      <c r="J105" s="112">
        <v>204</v>
      </c>
      <c r="K105" s="112" t="s">
        <v>803</v>
      </c>
    </row>
    <row r="106" spans="2:11" ht="15" x14ac:dyDescent="0.25">
      <c r="B106" s="10"/>
      <c r="G106" s="132"/>
      <c r="H106" s="72"/>
      <c r="I106" s="72"/>
      <c r="J106" s="112">
        <v>205</v>
      </c>
      <c r="K106" s="112"/>
    </row>
    <row r="107" spans="2:11" ht="15" x14ac:dyDescent="0.25">
      <c r="B107" s="10"/>
      <c r="G107" s="132"/>
      <c r="H107" s="72"/>
      <c r="I107" s="72" t="s">
        <v>334</v>
      </c>
      <c r="J107" s="112">
        <v>206</v>
      </c>
      <c r="K107" s="112"/>
    </row>
    <row r="108" spans="2:11" ht="15" x14ac:dyDescent="0.25">
      <c r="B108" s="10"/>
      <c r="G108" s="132"/>
      <c r="H108" s="72"/>
      <c r="I108" s="72" t="s">
        <v>334</v>
      </c>
      <c r="J108" s="112">
        <v>207</v>
      </c>
      <c r="K108" s="112"/>
    </row>
    <row r="109" spans="2:11" ht="15" x14ac:dyDescent="0.25">
      <c r="B109" s="10"/>
      <c r="G109" s="132"/>
      <c r="H109" s="72" t="s">
        <v>1291</v>
      </c>
      <c r="I109" s="72" t="s">
        <v>1292</v>
      </c>
      <c r="J109" s="112">
        <v>208</v>
      </c>
      <c r="K109" s="112" t="s">
        <v>803</v>
      </c>
    </row>
    <row r="110" spans="2:11" ht="15" x14ac:dyDescent="0.25">
      <c r="B110" s="10"/>
      <c r="G110" s="132"/>
      <c r="H110" s="72" t="s">
        <v>1293</v>
      </c>
      <c r="I110" s="72" t="s">
        <v>1294</v>
      </c>
      <c r="J110" s="112">
        <v>209</v>
      </c>
      <c r="K110" s="112" t="s">
        <v>803</v>
      </c>
    </row>
    <row r="111" spans="2:11" ht="15" x14ac:dyDescent="0.25">
      <c r="B111" s="10"/>
      <c r="G111" s="132"/>
      <c r="H111" s="72"/>
      <c r="I111" s="72" t="s">
        <v>334</v>
      </c>
      <c r="J111" s="112">
        <v>210</v>
      </c>
      <c r="K111" s="112"/>
    </row>
    <row r="112" spans="2:11" ht="15" x14ac:dyDescent="0.25">
      <c r="B112" s="10"/>
      <c r="G112" s="132"/>
      <c r="H112" s="72"/>
      <c r="I112" s="72" t="s">
        <v>334</v>
      </c>
      <c r="J112" s="112">
        <v>211</v>
      </c>
      <c r="K112" s="112"/>
    </row>
    <row r="113" spans="2:12" ht="15" x14ac:dyDescent="0.25">
      <c r="B113" s="10"/>
      <c r="G113" s="132" t="s">
        <v>122</v>
      </c>
      <c r="H113" s="14" t="s">
        <v>636</v>
      </c>
      <c r="I113" s="14" t="s">
        <v>1404</v>
      </c>
      <c r="J113" s="112">
        <v>212</v>
      </c>
      <c r="K113" s="112" t="s">
        <v>819</v>
      </c>
    </row>
    <row r="114" spans="2:12" ht="15" x14ac:dyDescent="0.25">
      <c r="B114" s="10"/>
      <c r="G114" s="131" t="s">
        <v>1331</v>
      </c>
      <c r="H114" s="14" t="s">
        <v>637</v>
      </c>
      <c r="I114" s="14" t="s">
        <v>1405</v>
      </c>
      <c r="J114" s="112">
        <v>213</v>
      </c>
      <c r="K114" s="112" t="s">
        <v>819</v>
      </c>
    </row>
    <row r="115" spans="2:12" ht="15" x14ac:dyDescent="0.25">
      <c r="B115" s="10"/>
      <c r="G115" s="131" t="s">
        <v>1333</v>
      </c>
      <c r="H115" s="14" t="s">
        <v>624</v>
      </c>
      <c r="I115" s="14" t="s">
        <v>1406</v>
      </c>
      <c r="J115" s="112">
        <v>214</v>
      </c>
      <c r="K115" s="112" t="s">
        <v>803</v>
      </c>
    </row>
    <row r="116" spans="2:12" ht="15" x14ac:dyDescent="0.25">
      <c r="B116" s="10"/>
      <c r="G116" s="131" t="s">
        <v>1334</v>
      </c>
      <c r="H116" s="14" t="s">
        <v>1056</v>
      </c>
      <c r="I116" s="14" t="s">
        <v>1332</v>
      </c>
      <c r="J116" s="112">
        <v>215</v>
      </c>
      <c r="K116" s="112" t="s">
        <v>803</v>
      </c>
    </row>
    <row r="117" spans="2:12" ht="15" x14ac:dyDescent="0.25">
      <c r="B117" s="10"/>
      <c r="G117" s="131" t="s">
        <v>1314</v>
      </c>
      <c r="H117" s="14" t="s">
        <v>1057</v>
      </c>
      <c r="I117" s="14" t="s">
        <v>1407</v>
      </c>
      <c r="J117" s="112">
        <v>216</v>
      </c>
      <c r="K117" s="112" t="s">
        <v>819</v>
      </c>
    </row>
    <row r="118" spans="2:12" ht="15" x14ac:dyDescent="0.25">
      <c r="B118" s="10"/>
      <c r="G118" s="131" t="s">
        <v>802</v>
      </c>
      <c r="H118" s="14" t="s">
        <v>133</v>
      </c>
      <c r="I118" s="14" t="s">
        <v>817</v>
      </c>
      <c r="J118" s="112">
        <v>217</v>
      </c>
      <c r="K118" s="112" t="s">
        <v>819</v>
      </c>
    </row>
    <row r="119" spans="2:12" ht="15" x14ac:dyDescent="0.25">
      <c r="B119" s="10"/>
      <c r="G119" s="132"/>
      <c r="H119" s="14" t="s">
        <v>625</v>
      </c>
      <c r="I119" s="14" t="s">
        <v>818</v>
      </c>
      <c r="J119" s="112">
        <v>218</v>
      </c>
      <c r="K119" s="112" t="s">
        <v>819</v>
      </c>
    </row>
    <row r="120" spans="2:12" ht="15" x14ac:dyDescent="0.25">
      <c r="B120" s="10"/>
      <c r="G120" s="132"/>
      <c r="H120" s="14" t="s">
        <v>1340</v>
      </c>
      <c r="I120" s="14" t="s">
        <v>1341</v>
      </c>
      <c r="J120" s="112">
        <v>219</v>
      </c>
      <c r="K120" s="112" t="s">
        <v>804</v>
      </c>
      <c r="L120" t="s">
        <v>1418</v>
      </c>
    </row>
    <row r="121" spans="2:12" ht="15" x14ac:dyDescent="0.25">
      <c r="B121" s="10"/>
      <c r="G121" s="132"/>
      <c r="H121" s="132"/>
      <c r="I121" s="132"/>
      <c r="J121" s="112">
        <v>220</v>
      </c>
      <c r="K121" s="112"/>
      <c r="L121" s="11"/>
    </row>
    <row r="122" spans="2:12" ht="15" x14ac:dyDescent="0.25">
      <c r="B122" s="10"/>
      <c r="G122" s="132"/>
      <c r="H122" s="132"/>
      <c r="I122" s="132"/>
      <c r="J122" s="112">
        <v>221</v>
      </c>
      <c r="K122" s="112"/>
      <c r="L122" s="11"/>
    </row>
    <row r="123" spans="2:12" ht="15" x14ac:dyDescent="0.25">
      <c r="B123" s="10"/>
      <c r="G123" s="132"/>
      <c r="H123" s="132"/>
      <c r="I123" s="132"/>
      <c r="J123" s="112">
        <v>222</v>
      </c>
      <c r="K123" s="112"/>
    </row>
    <row r="124" spans="2:12" ht="15" x14ac:dyDescent="0.25">
      <c r="B124" s="10"/>
      <c r="G124" s="132"/>
      <c r="H124" s="132"/>
      <c r="I124" s="132"/>
      <c r="J124" s="112">
        <v>223</v>
      </c>
      <c r="K124" s="112"/>
    </row>
    <row r="125" spans="2:12" ht="15" x14ac:dyDescent="0.25">
      <c r="B125" s="10"/>
      <c r="G125" s="132"/>
      <c r="H125" s="132"/>
      <c r="I125" s="132"/>
      <c r="J125" s="112">
        <v>224</v>
      </c>
      <c r="K125" s="112"/>
    </row>
    <row r="126" spans="2:12" ht="15" x14ac:dyDescent="0.25">
      <c r="B126" s="10"/>
      <c r="G126" s="132"/>
      <c r="H126" s="132"/>
      <c r="I126" s="132"/>
      <c r="J126" s="112">
        <v>225</v>
      </c>
      <c r="K126" s="112"/>
    </row>
    <row r="127" spans="2:12" ht="15" x14ac:dyDescent="0.25">
      <c r="B127" s="10"/>
      <c r="G127" s="132"/>
      <c r="H127" s="132"/>
      <c r="I127" s="132"/>
      <c r="J127" s="112">
        <v>226</v>
      </c>
      <c r="K127" s="112"/>
    </row>
    <row r="128" spans="2:12" ht="15" x14ac:dyDescent="0.25">
      <c r="B128" s="10"/>
      <c r="G128" s="132"/>
      <c r="H128" s="132"/>
      <c r="I128" s="132"/>
      <c r="J128" s="112">
        <v>227</v>
      </c>
      <c r="K128" s="112"/>
    </row>
    <row r="129" spans="2:12" ht="15" x14ac:dyDescent="0.25">
      <c r="B129" s="10"/>
      <c r="G129" s="132" t="s">
        <v>122</v>
      </c>
      <c r="H129" s="72" t="s">
        <v>1064</v>
      </c>
      <c r="I129" s="72" t="s">
        <v>1400</v>
      </c>
      <c r="J129" s="112">
        <v>228</v>
      </c>
      <c r="K129" s="112" t="s">
        <v>819</v>
      </c>
    </row>
    <row r="130" spans="2:12" ht="15" x14ac:dyDescent="0.25">
      <c r="G130" s="131" t="s">
        <v>1399</v>
      </c>
      <c r="H130" s="72"/>
      <c r="I130" s="72" t="s">
        <v>1401</v>
      </c>
      <c r="J130" s="112">
        <v>229</v>
      </c>
      <c r="K130" s="112" t="s">
        <v>1062</v>
      </c>
    </row>
    <row r="131" spans="2:12" ht="15" x14ac:dyDescent="0.25">
      <c r="G131" s="131" t="s">
        <v>1349</v>
      </c>
      <c r="H131" s="72"/>
      <c r="I131" s="72" t="s">
        <v>1335</v>
      </c>
      <c r="J131" s="112">
        <v>230</v>
      </c>
      <c r="K131" s="112" t="s">
        <v>819</v>
      </c>
    </row>
    <row r="132" spans="2:12" ht="15" x14ac:dyDescent="0.25">
      <c r="G132" s="131" t="s">
        <v>1350</v>
      </c>
      <c r="H132" s="72"/>
      <c r="I132" s="72" t="s">
        <v>1402</v>
      </c>
      <c r="J132" s="112">
        <v>231</v>
      </c>
      <c r="K132" s="112" t="s">
        <v>1062</v>
      </c>
    </row>
    <row r="133" spans="2:12" ht="15" x14ac:dyDescent="0.25">
      <c r="G133" s="131" t="s">
        <v>367</v>
      </c>
      <c r="H133" s="72" t="s">
        <v>1398</v>
      </c>
      <c r="I133" s="72" t="s">
        <v>1336</v>
      </c>
      <c r="J133" s="112">
        <v>232</v>
      </c>
      <c r="K133" s="112" t="s">
        <v>409</v>
      </c>
    </row>
    <row r="134" spans="2:12" ht="15" x14ac:dyDescent="0.25">
      <c r="G134" s="131" t="s">
        <v>368</v>
      </c>
      <c r="H134" s="72"/>
      <c r="I134" s="72" t="s">
        <v>1403</v>
      </c>
      <c r="J134" s="112">
        <v>233</v>
      </c>
      <c r="K134" s="112" t="s">
        <v>804</v>
      </c>
    </row>
    <row r="135" spans="2:12" ht="15" customHeight="1" x14ac:dyDescent="0.25">
      <c r="G135" s="132"/>
      <c r="H135" s="72" t="s">
        <v>1337</v>
      </c>
      <c r="I135" s="72" t="s">
        <v>1338</v>
      </c>
      <c r="J135" s="112">
        <v>234</v>
      </c>
      <c r="K135" s="112" t="s">
        <v>804</v>
      </c>
      <c r="L135" s="11" t="s">
        <v>1339</v>
      </c>
    </row>
    <row r="136" spans="2:12" ht="15" x14ac:dyDescent="0.25">
      <c r="G136" s="132"/>
      <c r="H136" s="72" t="s">
        <v>1342</v>
      </c>
      <c r="I136" s="72" t="s">
        <v>1343</v>
      </c>
      <c r="J136" s="112">
        <v>235</v>
      </c>
      <c r="K136" s="112" t="s">
        <v>368</v>
      </c>
      <c r="L136" s="11"/>
    </row>
    <row r="137" spans="2:12" ht="15" x14ac:dyDescent="0.25">
      <c r="G137" s="132"/>
      <c r="H137" s="72" t="s">
        <v>1344</v>
      </c>
      <c r="I137" s="72" t="s">
        <v>1345</v>
      </c>
      <c r="J137" s="112">
        <v>236</v>
      </c>
      <c r="K137" s="112" t="s">
        <v>368</v>
      </c>
    </row>
    <row r="138" spans="2:12" ht="15" x14ac:dyDescent="0.25">
      <c r="G138" s="132"/>
      <c r="H138" s="72" t="s">
        <v>1346</v>
      </c>
      <c r="I138" s="72" t="s">
        <v>1347</v>
      </c>
      <c r="J138" s="112">
        <v>237</v>
      </c>
      <c r="K138" s="112" t="s">
        <v>368</v>
      </c>
    </row>
    <row r="139" spans="2:12" ht="15" x14ac:dyDescent="0.25">
      <c r="G139" s="132"/>
      <c r="H139" s="72" t="s">
        <v>1063</v>
      </c>
      <c r="I139" s="72" t="s">
        <v>1348</v>
      </c>
      <c r="J139" s="112">
        <v>238</v>
      </c>
      <c r="K139" s="112" t="s">
        <v>368</v>
      </c>
    </row>
    <row r="140" spans="2:12" ht="15" x14ac:dyDescent="0.25">
      <c r="G140" s="132"/>
      <c r="H140" s="72" t="s">
        <v>1617</v>
      </c>
      <c r="I140" s="72"/>
      <c r="J140" s="112">
        <v>239</v>
      </c>
      <c r="K140" s="112"/>
    </row>
    <row r="141" spans="2:12" ht="15" x14ac:dyDescent="0.25">
      <c r="G141" s="132"/>
      <c r="H141" s="72" t="s">
        <v>1599</v>
      </c>
      <c r="I141" s="72"/>
      <c r="J141" s="112">
        <v>240</v>
      </c>
      <c r="K141" s="112"/>
    </row>
    <row r="142" spans="2:12" ht="15" x14ac:dyDescent="0.25">
      <c r="G142" s="132"/>
      <c r="H142" s="72" t="s">
        <v>1618</v>
      </c>
      <c r="I142" s="72"/>
      <c r="J142" s="112">
        <v>241</v>
      </c>
      <c r="K142" s="112"/>
    </row>
    <row r="143" spans="2:12" ht="15" x14ac:dyDescent="0.25">
      <c r="G143" s="132"/>
      <c r="H143" s="72" t="s">
        <v>1397</v>
      </c>
      <c r="I143" s="72"/>
      <c r="J143" s="112">
        <v>242</v>
      </c>
      <c r="K143" s="112"/>
    </row>
    <row r="144" spans="2:12" ht="15" x14ac:dyDescent="0.25">
      <c r="G144" s="132"/>
      <c r="H144" s="72" t="s">
        <v>1619</v>
      </c>
      <c r="I144" s="72"/>
      <c r="J144" s="112">
        <v>243</v>
      </c>
      <c r="K144" s="112"/>
    </row>
    <row r="220" ht="12.75" customHeight="1" x14ac:dyDescent="0.2"/>
    <row r="224" ht="12.75" customHeight="1" x14ac:dyDescent="0.2"/>
    <row r="228" ht="12.75" customHeight="1" x14ac:dyDescent="0.2"/>
    <row r="232" ht="12.75" customHeight="1" x14ac:dyDescent="0.2"/>
  </sheetData>
  <pageMargins left="0.75" right="0.75" top="1" bottom="1" header="0.5" footer="0.5"/>
  <pageSetup paperSize="9" scale="39" fitToHeight="2" orientation="portrait" horizontalDpi="4294967294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N21"/>
  <sheetViews>
    <sheetView topLeftCell="P1" zoomScaleNormal="100" workbookViewId="0">
      <selection activeCell="Q6" sqref="Q6"/>
    </sheetView>
  </sheetViews>
  <sheetFormatPr defaultRowHeight="12.75" x14ac:dyDescent="0.2"/>
  <cols>
    <col min="1" max="1" width="12.5703125" style="10" customWidth="1"/>
    <col min="2" max="9" width="15.7109375" style="10" customWidth="1"/>
    <col min="10" max="10" width="12.5703125" style="10" customWidth="1"/>
    <col min="11" max="16" width="15.7109375" style="10" customWidth="1"/>
    <col min="17" max="19" width="15.7109375" customWidth="1"/>
    <col min="20" max="20" width="12.5703125" customWidth="1"/>
    <col min="21" max="26" width="15.7109375" customWidth="1"/>
    <col min="27" max="27" width="12.5703125" customWidth="1"/>
    <col min="28" max="33" width="15.7109375" customWidth="1"/>
    <col min="34" max="34" width="12.5703125" customWidth="1"/>
    <col min="35" max="39" width="15.7109375" customWidth="1"/>
    <col min="40" max="40" width="12.5703125" customWidth="1"/>
  </cols>
  <sheetData>
    <row r="1" spans="1:40" s="16" customFormat="1" ht="30" customHeight="1" thickBot="1" x14ac:dyDescent="0.25">
      <c r="A1" s="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401</v>
      </c>
      <c r="G1" s="15" t="s">
        <v>402</v>
      </c>
      <c r="H1" s="15" t="s">
        <v>19</v>
      </c>
      <c r="I1" s="15" t="s">
        <v>23</v>
      </c>
      <c r="J1" s="5" t="s">
        <v>14</v>
      </c>
      <c r="K1" s="184" t="s">
        <v>783</v>
      </c>
      <c r="L1" s="184" t="s">
        <v>784</v>
      </c>
      <c r="M1" s="15" t="s">
        <v>20</v>
      </c>
      <c r="N1" s="15" t="s">
        <v>21</v>
      </c>
      <c r="O1" s="15" t="s">
        <v>269</v>
      </c>
      <c r="P1" s="15" t="s">
        <v>787</v>
      </c>
      <c r="Q1" s="15" t="s">
        <v>270</v>
      </c>
      <c r="R1" s="15" t="s">
        <v>271</v>
      </c>
      <c r="S1" s="15" t="s">
        <v>272</v>
      </c>
      <c r="T1" s="5" t="s">
        <v>14</v>
      </c>
      <c r="U1" s="15" t="s">
        <v>273</v>
      </c>
      <c r="V1" s="15" t="s">
        <v>274</v>
      </c>
      <c r="W1" s="15" t="s">
        <v>275</v>
      </c>
      <c r="X1" s="15" t="s">
        <v>276</v>
      </c>
      <c r="Y1" s="15" t="s">
        <v>142</v>
      </c>
      <c r="Z1" s="15" t="s">
        <v>159</v>
      </c>
      <c r="AA1" s="5" t="s">
        <v>14</v>
      </c>
      <c r="AB1" s="15" t="s">
        <v>101</v>
      </c>
      <c r="AC1" s="15" t="s">
        <v>102</v>
      </c>
      <c r="AD1" s="15" t="s">
        <v>103</v>
      </c>
      <c r="AE1" s="15" t="s">
        <v>104</v>
      </c>
      <c r="AF1" s="15" t="s">
        <v>105</v>
      </c>
      <c r="AG1" s="15" t="s">
        <v>106</v>
      </c>
      <c r="AH1" s="5" t="s">
        <v>14</v>
      </c>
      <c r="AI1" s="15" t="s">
        <v>72</v>
      </c>
      <c r="AJ1" s="15" t="s">
        <v>24</v>
      </c>
      <c r="AK1" s="15" t="s">
        <v>25</v>
      </c>
      <c r="AL1" s="15" t="s">
        <v>782</v>
      </c>
      <c r="AM1" s="15"/>
      <c r="AN1" s="5" t="s">
        <v>14</v>
      </c>
    </row>
    <row r="2" spans="1:40" s="16" customFormat="1" ht="30" customHeight="1" thickBot="1" x14ac:dyDescent="0.25">
      <c r="A2" s="5"/>
      <c r="B2" s="126" t="s">
        <v>64</v>
      </c>
      <c r="C2" s="126" t="s">
        <v>65</v>
      </c>
      <c r="D2" s="126" t="s">
        <v>399</v>
      </c>
      <c r="E2" s="126" t="s">
        <v>400</v>
      </c>
      <c r="F2" s="126" t="s">
        <v>403</v>
      </c>
      <c r="G2" s="126" t="s">
        <v>404</v>
      </c>
      <c r="H2" s="126" t="s">
        <v>241</v>
      </c>
      <c r="I2" s="126" t="s">
        <v>242</v>
      </c>
      <c r="J2" s="5"/>
      <c r="K2" s="78" t="s">
        <v>785</v>
      </c>
      <c r="L2" s="78" t="s">
        <v>786</v>
      </c>
      <c r="M2" s="183" t="s">
        <v>157</v>
      </c>
      <c r="N2" s="78" t="s">
        <v>160</v>
      </c>
      <c r="O2" s="78" t="s">
        <v>158</v>
      </c>
      <c r="P2" s="78" t="s">
        <v>158</v>
      </c>
      <c r="Q2" s="183" t="s">
        <v>107</v>
      </c>
      <c r="R2" s="78" t="s">
        <v>230</v>
      </c>
      <c r="S2" s="78" t="s">
        <v>232</v>
      </c>
      <c r="T2" s="5"/>
      <c r="U2" s="78" t="s">
        <v>1233</v>
      </c>
      <c r="V2" s="78" t="s">
        <v>233</v>
      </c>
      <c r="W2" s="78" t="s">
        <v>234</v>
      </c>
      <c r="X2" s="78" t="s">
        <v>236</v>
      </c>
      <c r="Y2" s="78" t="s">
        <v>1234</v>
      </c>
      <c r="Z2" s="78" t="s">
        <v>235</v>
      </c>
      <c r="AA2" s="5"/>
      <c r="AB2" s="78" t="s">
        <v>298</v>
      </c>
      <c r="AC2" s="78" t="s">
        <v>1058</v>
      </c>
      <c r="AD2" s="78" t="s">
        <v>1059</v>
      </c>
      <c r="AE2" s="78" t="s">
        <v>1194</v>
      </c>
      <c r="AF2" s="78" t="s">
        <v>1200</v>
      </c>
      <c r="AG2" s="78" t="s">
        <v>1204</v>
      </c>
      <c r="AH2" s="5"/>
      <c r="AI2" s="78" t="s">
        <v>1060</v>
      </c>
      <c r="AJ2" s="78"/>
      <c r="AK2" s="78"/>
      <c r="AL2" s="78"/>
      <c r="AM2" s="78"/>
      <c r="AN2" s="5"/>
    </row>
    <row r="3" spans="1:40" s="16" customFormat="1" ht="30" customHeight="1" x14ac:dyDescent="0.2">
      <c r="A3" s="95">
        <v>1</v>
      </c>
      <c r="B3" s="97">
        <v>120</v>
      </c>
      <c r="C3" s="98">
        <v>126</v>
      </c>
      <c r="D3" s="98">
        <v>132</v>
      </c>
      <c r="E3" s="98">
        <v>138</v>
      </c>
      <c r="F3" s="198">
        <v>144</v>
      </c>
      <c r="G3" s="198">
        <v>150</v>
      </c>
      <c r="H3" s="98">
        <v>157</v>
      </c>
      <c r="I3" s="99">
        <v>163</v>
      </c>
      <c r="J3" s="121">
        <v>1</v>
      </c>
      <c r="K3" s="198">
        <v>180</v>
      </c>
      <c r="L3" s="198">
        <v>186</v>
      </c>
      <c r="M3" s="157">
        <v>170</v>
      </c>
      <c r="N3" s="87">
        <v>20</v>
      </c>
      <c r="O3" s="85" t="s">
        <v>243</v>
      </c>
      <c r="P3" s="130" t="s">
        <v>788</v>
      </c>
      <c r="Q3" s="85">
        <v>115</v>
      </c>
      <c r="R3" s="85">
        <v>501</v>
      </c>
      <c r="S3" s="85">
        <v>505</v>
      </c>
      <c r="T3" s="79">
        <v>1</v>
      </c>
      <c r="U3" s="85">
        <v>509</v>
      </c>
      <c r="V3" s="85">
        <v>513</v>
      </c>
      <c r="W3" s="85">
        <v>517</v>
      </c>
      <c r="X3" s="85">
        <v>521</v>
      </c>
      <c r="Y3" s="85">
        <v>525</v>
      </c>
      <c r="Z3" s="85">
        <v>529</v>
      </c>
      <c r="AA3" s="79">
        <v>1</v>
      </c>
      <c r="AB3" s="85">
        <v>533</v>
      </c>
      <c r="AC3" s="85">
        <v>537</v>
      </c>
      <c r="AD3" s="85">
        <v>541</v>
      </c>
      <c r="AE3" s="157">
        <v>545</v>
      </c>
      <c r="AF3" s="85">
        <v>549</v>
      </c>
      <c r="AG3" s="85">
        <v>553</v>
      </c>
      <c r="AH3" s="79">
        <v>1</v>
      </c>
      <c r="AI3" s="130">
        <v>557</v>
      </c>
      <c r="AJ3" s="130">
        <v>561</v>
      </c>
      <c r="AK3" s="130">
        <v>565</v>
      </c>
      <c r="AL3" s="130">
        <v>569</v>
      </c>
      <c r="AM3" s="130">
        <v>596</v>
      </c>
      <c r="AN3" s="79">
        <v>1</v>
      </c>
    </row>
    <row r="4" spans="1:40" s="16" customFormat="1" ht="30" customHeight="1" x14ac:dyDescent="0.2">
      <c r="A4" s="96">
        <v>2</v>
      </c>
      <c r="B4" s="100">
        <v>121</v>
      </c>
      <c r="C4" s="85">
        <v>127</v>
      </c>
      <c r="D4" s="85">
        <v>133</v>
      </c>
      <c r="E4" s="85">
        <v>139</v>
      </c>
      <c r="F4" s="130">
        <v>145</v>
      </c>
      <c r="G4" s="130">
        <v>151</v>
      </c>
      <c r="H4" s="85">
        <v>158</v>
      </c>
      <c r="I4" s="101">
        <v>164</v>
      </c>
      <c r="J4" s="122">
        <v>2</v>
      </c>
      <c r="K4" s="130">
        <v>181</v>
      </c>
      <c r="L4" s="130">
        <v>187</v>
      </c>
      <c r="M4" s="157" t="s">
        <v>238</v>
      </c>
      <c r="N4" s="87">
        <v>21</v>
      </c>
      <c r="O4" s="85" t="s">
        <v>244</v>
      </c>
      <c r="P4" s="130" t="s">
        <v>789</v>
      </c>
      <c r="Q4" s="85" t="s">
        <v>22</v>
      </c>
      <c r="R4" s="85">
        <v>502</v>
      </c>
      <c r="S4" s="85">
        <v>506</v>
      </c>
      <c r="T4" s="80">
        <v>2</v>
      </c>
      <c r="U4" s="85">
        <v>510</v>
      </c>
      <c r="V4" s="85">
        <v>514</v>
      </c>
      <c r="W4" s="85">
        <v>518</v>
      </c>
      <c r="X4" s="85">
        <v>522</v>
      </c>
      <c r="Y4" s="85">
        <v>526</v>
      </c>
      <c r="Z4" s="85">
        <v>530</v>
      </c>
      <c r="AA4" s="80">
        <v>2</v>
      </c>
      <c r="AB4" s="85">
        <v>534</v>
      </c>
      <c r="AC4" s="85">
        <v>538</v>
      </c>
      <c r="AD4" s="85">
        <v>542</v>
      </c>
      <c r="AE4" s="157">
        <v>546</v>
      </c>
      <c r="AF4" s="85">
        <v>550</v>
      </c>
      <c r="AG4" s="85">
        <v>554</v>
      </c>
      <c r="AH4" s="80">
        <v>2</v>
      </c>
      <c r="AI4" s="130">
        <v>558</v>
      </c>
      <c r="AJ4" s="130">
        <v>562</v>
      </c>
      <c r="AK4" s="130">
        <v>566</v>
      </c>
      <c r="AL4" s="130">
        <v>570</v>
      </c>
      <c r="AM4" s="130">
        <v>597</v>
      </c>
      <c r="AN4" s="80">
        <v>2</v>
      </c>
    </row>
    <row r="5" spans="1:40" s="16" customFormat="1" ht="30" customHeight="1" x14ac:dyDescent="0.2">
      <c r="A5" s="90">
        <v>3</v>
      </c>
      <c r="B5" s="100">
        <v>122</v>
      </c>
      <c r="C5" s="85">
        <v>128</v>
      </c>
      <c r="D5" s="85">
        <v>134</v>
      </c>
      <c r="E5" s="85">
        <v>140</v>
      </c>
      <c r="F5" s="130">
        <v>146</v>
      </c>
      <c r="G5" s="130">
        <v>152</v>
      </c>
      <c r="H5" s="85">
        <v>159</v>
      </c>
      <c r="I5" s="101">
        <v>165</v>
      </c>
      <c r="J5" s="123">
        <v>3</v>
      </c>
      <c r="K5" s="130">
        <v>182</v>
      </c>
      <c r="L5" s="130">
        <v>188</v>
      </c>
      <c r="M5" s="157">
        <v>173</v>
      </c>
      <c r="N5" s="86">
        <v>22</v>
      </c>
      <c r="O5" s="85" t="s">
        <v>245</v>
      </c>
      <c r="P5" s="130" t="s">
        <v>790</v>
      </c>
      <c r="Q5" s="85" t="s">
        <v>292</v>
      </c>
      <c r="R5" s="85">
        <v>503</v>
      </c>
      <c r="S5" s="85">
        <v>507</v>
      </c>
      <c r="T5" s="81">
        <v>3</v>
      </c>
      <c r="U5" s="85">
        <v>511</v>
      </c>
      <c r="V5" s="85">
        <v>515</v>
      </c>
      <c r="W5" s="85">
        <v>519</v>
      </c>
      <c r="X5" s="85">
        <v>523</v>
      </c>
      <c r="Y5" s="85">
        <v>527</v>
      </c>
      <c r="Z5" s="85">
        <v>531</v>
      </c>
      <c r="AA5" s="81">
        <v>3</v>
      </c>
      <c r="AB5" s="85">
        <v>535</v>
      </c>
      <c r="AC5" s="85">
        <v>539</v>
      </c>
      <c r="AD5" s="85">
        <v>543</v>
      </c>
      <c r="AE5" s="157">
        <v>547</v>
      </c>
      <c r="AF5" s="85">
        <v>551</v>
      </c>
      <c r="AG5" s="85">
        <v>555</v>
      </c>
      <c r="AH5" s="81">
        <v>3</v>
      </c>
      <c r="AI5" s="130">
        <v>559</v>
      </c>
      <c r="AJ5" s="130">
        <v>563</v>
      </c>
      <c r="AK5" s="130">
        <v>567</v>
      </c>
      <c r="AL5" s="130">
        <v>571</v>
      </c>
      <c r="AM5" s="130">
        <v>598</v>
      </c>
      <c r="AN5" s="81">
        <v>3</v>
      </c>
    </row>
    <row r="6" spans="1:40" s="16" customFormat="1" ht="30" customHeight="1" x14ac:dyDescent="0.2">
      <c r="A6" s="90">
        <v>4</v>
      </c>
      <c r="B6" s="100" t="s">
        <v>292</v>
      </c>
      <c r="C6" s="85" t="s">
        <v>292</v>
      </c>
      <c r="D6" s="85" t="s">
        <v>292</v>
      </c>
      <c r="E6" s="85" t="s">
        <v>292</v>
      </c>
      <c r="F6" s="130" t="s">
        <v>292</v>
      </c>
      <c r="G6" s="130" t="s">
        <v>292</v>
      </c>
      <c r="H6" s="85" t="s">
        <v>292</v>
      </c>
      <c r="I6" s="101" t="s">
        <v>292</v>
      </c>
      <c r="J6" s="123">
        <v>4</v>
      </c>
      <c r="K6" s="130" t="s">
        <v>292</v>
      </c>
      <c r="L6" s="130" t="s">
        <v>292</v>
      </c>
      <c r="M6" s="157" t="s">
        <v>71</v>
      </c>
      <c r="N6" s="86">
        <v>23</v>
      </c>
      <c r="O6" s="85" t="s">
        <v>246</v>
      </c>
      <c r="P6" s="130" t="s">
        <v>791</v>
      </c>
      <c r="Q6" s="85">
        <v>112</v>
      </c>
      <c r="R6" s="85" t="s">
        <v>292</v>
      </c>
      <c r="S6" s="85" t="s">
        <v>292</v>
      </c>
      <c r="T6" s="81">
        <v>4</v>
      </c>
      <c r="U6" s="85" t="s">
        <v>292</v>
      </c>
      <c r="V6" s="85" t="s">
        <v>292</v>
      </c>
      <c r="W6" s="85" t="s">
        <v>292</v>
      </c>
      <c r="X6" s="85" t="s">
        <v>292</v>
      </c>
      <c r="Y6" s="85" t="s">
        <v>292</v>
      </c>
      <c r="Z6" s="85" t="s">
        <v>292</v>
      </c>
      <c r="AA6" s="81">
        <v>4</v>
      </c>
      <c r="AB6" s="85" t="s">
        <v>292</v>
      </c>
      <c r="AC6" s="85" t="s">
        <v>292</v>
      </c>
      <c r="AD6" s="85" t="s">
        <v>292</v>
      </c>
      <c r="AE6" s="157" t="s">
        <v>292</v>
      </c>
      <c r="AF6" s="85" t="s">
        <v>292</v>
      </c>
      <c r="AG6" s="85" t="s">
        <v>292</v>
      </c>
      <c r="AH6" s="81">
        <v>4</v>
      </c>
      <c r="AI6" s="130" t="s">
        <v>292</v>
      </c>
      <c r="AJ6" s="130" t="s">
        <v>292</v>
      </c>
      <c r="AK6" s="130" t="s">
        <v>292</v>
      </c>
      <c r="AL6" s="130" t="s">
        <v>292</v>
      </c>
      <c r="AM6" s="130" t="s">
        <v>292</v>
      </c>
      <c r="AN6" s="81">
        <v>4</v>
      </c>
    </row>
    <row r="7" spans="1:40" s="16" customFormat="1" ht="30" customHeight="1" x14ac:dyDescent="0.2">
      <c r="A7" s="90">
        <v>5</v>
      </c>
      <c r="B7" s="100">
        <v>123</v>
      </c>
      <c r="C7" s="85">
        <v>129</v>
      </c>
      <c r="D7" s="85">
        <v>135</v>
      </c>
      <c r="E7" s="85">
        <v>141</v>
      </c>
      <c r="F7" s="130">
        <v>147</v>
      </c>
      <c r="G7" s="130">
        <v>153</v>
      </c>
      <c r="H7" s="85">
        <v>160</v>
      </c>
      <c r="I7" s="101">
        <v>166</v>
      </c>
      <c r="J7" s="123">
        <v>5</v>
      </c>
      <c r="K7" s="130">
        <v>183</v>
      </c>
      <c r="L7" s="130">
        <v>189</v>
      </c>
      <c r="M7" s="157">
        <v>114</v>
      </c>
      <c r="N7" s="86" t="s">
        <v>268</v>
      </c>
      <c r="O7" s="85" t="s">
        <v>245</v>
      </c>
      <c r="P7" s="130" t="s">
        <v>790</v>
      </c>
      <c r="Q7" s="85" t="s">
        <v>22</v>
      </c>
      <c r="R7" s="85" t="s">
        <v>268</v>
      </c>
      <c r="S7" s="85" t="s">
        <v>268</v>
      </c>
      <c r="T7" s="81">
        <v>5</v>
      </c>
      <c r="U7" s="85" t="s">
        <v>268</v>
      </c>
      <c r="V7" s="85" t="s">
        <v>268</v>
      </c>
      <c r="W7" s="85" t="s">
        <v>268</v>
      </c>
      <c r="X7" s="85" t="s">
        <v>268</v>
      </c>
      <c r="Y7" s="85" t="s">
        <v>268</v>
      </c>
      <c r="Z7" s="85" t="s">
        <v>268</v>
      </c>
      <c r="AA7" s="81">
        <v>5</v>
      </c>
      <c r="AB7" s="85" t="s">
        <v>268</v>
      </c>
      <c r="AC7" s="85" t="s">
        <v>268</v>
      </c>
      <c r="AD7" s="85" t="s">
        <v>268</v>
      </c>
      <c r="AE7" s="157" t="s">
        <v>268</v>
      </c>
      <c r="AF7" s="85" t="s">
        <v>268</v>
      </c>
      <c r="AG7" s="85" t="s">
        <v>268</v>
      </c>
      <c r="AH7" s="81">
        <v>5</v>
      </c>
      <c r="AI7" s="130" t="s">
        <v>268</v>
      </c>
      <c r="AJ7" s="130" t="s">
        <v>268</v>
      </c>
      <c r="AK7" s="130" t="s">
        <v>268</v>
      </c>
      <c r="AL7" s="130" t="s">
        <v>268</v>
      </c>
      <c r="AM7" s="130" t="s">
        <v>268</v>
      </c>
      <c r="AN7" s="81">
        <v>5</v>
      </c>
    </row>
    <row r="8" spans="1:40" s="16" customFormat="1" ht="30" customHeight="1" x14ac:dyDescent="0.2">
      <c r="A8" s="90">
        <v>6</v>
      </c>
      <c r="B8" s="100">
        <v>124</v>
      </c>
      <c r="C8" s="85">
        <v>130</v>
      </c>
      <c r="D8" s="85">
        <v>136</v>
      </c>
      <c r="E8" s="85">
        <v>142</v>
      </c>
      <c r="F8" s="130">
        <v>148</v>
      </c>
      <c r="G8" s="130">
        <v>154</v>
      </c>
      <c r="H8" s="85">
        <v>161</v>
      </c>
      <c r="I8" s="101">
        <v>167</v>
      </c>
      <c r="J8" s="123">
        <v>6</v>
      </c>
      <c r="K8" s="130">
        <v>184</v>
      </c>
      <c r="L8" s="130">
        <v>190</v>
      </c>
      <c r="M8" s="157" t="s">
        <v>22</v>
      </c>
      <c r="N8" s="86"/>
      <c r="O8" s="85" t="s">
        <v>246</v>
      </c>
      <c r="P8" s="130" t="s">
        <v>791</v>
      </c>
      <c r="Q8" s="85" t="s">
        <v>292</v>
      </c>
      <c r="R8" s="85"/>
      <c r="S8" s="85"/>
      <c r="T8" s="81">
        <v>6</v>
      </c>
      <c r="U8" s="85"/>
      <c r="V8" s="85"/>
      <c r="W8" s="85"/>
      <c r="X8" s="85"/>
      <c r="Y8" s="85"/>
      <c r="Z8" s="85"/>
      <c r="AA8" s="81">
        <v>6</v>
      </c>
      <c r="AB8" s="85"/>
      <c r="AC8" s="85"/>
      <c r="AD8" s="85"/>
      <c r="AE8" s="157"/>
      <c r="AF8" s="85"/>
      <c r="AG8" s="85"/>
      <c r="AH8" s="81">
        <v>6</v>
      </c>
      <c r="AI8" s="130"/>
      <c r="AJ8" s="130"/>
      <c r="AK8" s="130"/>
      <c r="AL8" s="130"/>
      <c r="AM8" s="130"/>
      <c r="AN8" s="81">
        <v>6</v>
      </c>
    </row>
    <row r="9" spans="1:40" s="16" customFormat="1" ht="30" customHeight="1" x14ac:dyDescent="0.2">
      <c r="A9" s="90">
        <v>7</v>
      </c>
      <c r="B9" s="100">
        <v>125</v>
      </c>
      <c r="C9" s="85">
        <v>131</v>
      </c>
      <c r="D9" s="85">
        <v>137</v>
      </c>
      <c r="E9" s="85">
        <v>143</v>
      </c>
      <c r="F9" s="130">
        <v>149</v>
      </c>
      <c r="G9" s="130">
        <v>155</v>
      </c>
      <c r="H9" s="85">
        <v>162</v>
      </c>
      <c r="I9" s="101">
        <v>168</v>
      </c>
      <c r="J9" s="123">
        <v>7</v>
      </c>
      <c r="K9" s="130">
        <v>185</v>
      </c>
      <c r="L9" s="130">
        <v>191</v>
      </c>
      <c r="M9" s="62"/>
      <c r="N9" s="86">
        <v>30</v>
      </c>
      <c r="O9" s="85" t="s">
        <v>247</v>
      </c>
      <c r="P9" s="130" t="s">
        <v>792</v>
      </c>
      <c r="Q9" s="62"/>
      <c r="R9" s="62"/>
      <c r="S9" s="62"/>
      <c r="T9" s="81">
        <v>7</v>
      </c>
      <c r="U9" s="62"/>
      <c r="V9" s="62"/>
      <c r="W9" s="62"/>
      <c r="X9" s="62"/>
      <c r="Y9" s="62"/>
      <c r="Z9" s="62"/>
      <c r="AA9" s="81">
        <v>7</v>
      </c>
      <c r="AB9" s="62"/>
      <c r="AC9" s="62"/>
      <c r="AD9" s="62"/>
      <c r="AE9" s="89"/>
      <c r="AF9" s="62"/>
      <c r="AG9" s="85"/>
      <c r="AH9" s="81">
        <v>7</v>
      </c>
      <c r="AI9" s="62"/>
      <c r="AJ9" s="62"/>
      <c r="AK9" s="62"/>
      <c r="AL9" s="62"/>
      <c r="AM9" s="62"/>
      <c r="AN9" s="81">
        <v>7</v>
      </c>
    </row>
    <row r="10" spans="1:40" s="16" customFormat="1" ht="30" customHeight="1" x14ac:dyDescent="0.2">
      <c r="A10" s="90">
        <v>8</v>
      </c>
      <c r="B10" s="100" t="s">
        <v>292</v>
      </c>
      <c r="C10" s="85" t="s">
        <v>292</v>
      </c>
      <c r="D10" s="85" t="s">
        <v>292</v>
      </c>
      <c r="E10" s="85" t="s">
        <v>292</v>
      </c>
      <c r="F10" s="130" t="s">
        <v>292</v>
      </c>
      <c r="G10" s="130" t="s">
        <v>292</v>
      </c>
      <c r="H10" s="85" t="s">
        <v>292</v>
      </c>
      <c r="I10" s="101" t="s">
        <v>292</v>
      </c>
      <c r="J10" s="123">
        <v>8</v>
      </c>
      <c r="K10" s="130" t="s">
        <v>292</v>
      </c>
      <c r="L10" s="130" t="s">
        <v>292</v>
      </c>
      <c r="M10" s="62"/>
      <c r="N10" s="86">
        <v>30</v>
      </c>
      <c r="O10" s="85" t="s">
        <v>248</v>
      </c>
      <c r="P10" s="130" t="s">
        <v>793</v>
      </c>
      <c r="Q10" s="62"/>
      <c r="R10" s="62"/>
      <c r="S10" s="62"/>
      <c r="T10" s="81">
        <v>8</v>
      </c>
      <c r="U10" s="62"/>
      <c r="V10" s="62"/>
      <c r="W10" s="62"/>
      <c r="X10" s="62"/>
      <c r="Y10" s="62"/>
      <c r="Z10" s="62"/>
      <c r="AA10" s="81">
        <v>8</v>
      </c>
      <c r="AB10" s="62"/>
      <c r="AC10" s="62"/>
      <c r="AD10" s="62"/>
      <c r="AE10" s="89"/>
      <c r="AF10" s="62"/>
      <c r="AG10" s="85"/>
      <c r="AH10" s="81">
        <v>8</v>
      </c>
      <c r="AI10" s="62"/>
      <c r="AJ10" s="62"/>
      <c r="AK10" s="62"/>
      <c r="AL10" s="62"/>
      <c r="AM10" s="62"/>
      <c r="AN10" s="81">
        <v>8</v>
      </c>
    </row>
    <row r="11" spans="1:40" s="16" customFormat="1" ht="30" customHeight="1" x14ac:dyDescent="0.2">
      <c r="A11" s="90">
        <v>9</v>
      </c>
      <c r="B11" s="127"/>
      <c r="C11" s="17"/>
      <c r="D11" s="17"/>
      <c r="E11" s="17"/>
      <c r="F11" s="130"/>
      <c r="G11" s="130"/>
      <c r="H11" s="130">
        <v>182</v>
      </c>
      <c r="I11" s="142">
        <v>185</v>
      </c>
      <c r="J11" s="123">
        <v>9</v>
      </c>
      <c r="K11" s="130"/>
      <c r="L11" s="130"/>
      <c r="M11" s="62"/>
      <c r="N11" s="86">
        <v>31</v>
      </c>
      <c r="O11" s="85" t="s">
        <v>247</v>
      </c>
      <c r="P11" s="130" t="s">
        <v>792</v>
      </c>
      <c r="Q11" s="62"/>
      <c r="R11" s="62"/>
      <c r="S11" s="62"/>
      <c r="T11" s="81">
        <v>9</v>
      </c>
      <c r="U11" s="62"/>
      <c r="V11" s="62"/>
      <c r="W11" s="62"/>
      <c r="X11" s="89"/>
      <c r="Y11" s="62"/>
      <c r="Z11" s="62"/>
      <c r="AA11" s="81">
        <v>9</v>
      </c>
      <c r="AB11" s="62"/>
      <c r="AC11" s="89"/>
      <c r="AD11" s="89"/>
      <c r="AE11" s="89"/>
      <c r="AF11" s="62"/>
      <c r="AG11" s="85">
        <v>574</v>
      </c>
      <c r="AH11" s="81">
        <v>9</v>
      </c>
      <c r="AI11" s="62"/>
      <c r="AJ11" s="62"/>
      <c r="AK11" s="62">
        <v>574</v>
      </c>
      <c r="AL11" s="62"/>
      <c r="AM11" s="62"/>
      <c r="AN11" s="81">
        <v>9</v>
      </c>
    </row>
    <row r="12" spans="1:40" s="16" customFormat="1" ht="30" customHeight="1" x14ac:dyDescent="0.2">
      <c r="A12" s="90">
        <v>10</v>
      </c>
      <c r="B12" s="127"/>
      <c r="C12" s="17"/>
      <c r="D12" s="17"/>
      <c r="E12" s="17"/>
      <c r="F12" s="130"/>
      <c r="G12" s="130"/>
      <c r="H12" s="130" t="s">
        <v>239</v>
      </c>
      <c r="I12" s="142" t="s">
        <v>240</v>
      </c>
      <c r="J12" s="123">
        <v>10</v>
      </c>
      <c r="K12" s="130"/>
      <c r="L12" s="130"/>
      <c r="M12" s="62"/>
      <c r="N12" s="86">
        <v>31</v>
      </c>
      <c r="O12" s="85" t="s">
        <v>248</v>
      </c>
      <c r="P12" s="130" t="s">
        <v>793</v>
      </c>
      <c r="Q12" s="62"/>
      <c r="R12" s="62"/>
      <c r="S12" s="62"/>
      <c r="T12" s="81">
        <v>10</v>
      </c>
      <c r="U12" s="62"/>
      <c r="V12" s="62"/>
      <c r="W12" s="62"/>
      <c r="X12" s="89"/>
      <c r="Y12" s="62"/>
      <c r="Z12" s="62"/>
      <c r="AA12" s="81">
        <v>10</v>
      </c>
      <c r="AB12" s="62"/>
      <c r="AC12" s="89"/>
      <c r="AD12" s="89"/>
      <c r="AE12" s="89"/>
      <c r="AF12" s="62"/>
      <c r="AG12" s="85" t="s">
        <v>22</v>
      </c>
      <c r="AH12" s="81">
        <v>10</v>
      </c>
      <c r="AI12" s="62"/>
      <c r="AJ12" s="62"/>
      <c r="AK12" s="62" t="s">
        <v>22</v>
      </c>
      <c r="AL12" s="62"/>
      <c r="AM12" s="62"/>
      <c r="AN12" s="81">
        <v>10</v>
      </c>
    </row>
    <row r="13" spans="1:40" s="16" customFormat="1" ht="30" customHeight="1" x14ac:dyDescent="0.2">
      <c r="A13" s="90">
        <v>11</v>
      </c>
      <c r="B13" s="128"/>
      <c r="C13" s="61"/>
      <c r="D13" s="61"/>
      <c r="E13" s="61"/>
      <c r="F13" s="61"/>
      <c r="G13" s="61"/>
      <c r="H13" s="61"/>
      <c r="I13" s="102"/>
      <c r="J13" s="123">
        <v>11</v>
      </c>
      <c r="K13" s="61"/>
      <c r="L13" s="62"/>
      <c r="M13" s="62"/>
      <c r="N13" s="62"/>
      <c r="O13" s="85" t="s">
        <v>76</v>
      </c>
      <c r="P13" s="130" t="s">
        <v>794</v>
      </c>
      <c r="Q13" s="62"/>
      <c r="R13" s="62"/>
      <c r="S13" s="62"/>
      <c r="T13" s="81">
        <v>11</v>
      </c>
      <c r="U13" s="62"/>
      <c r="V13" s="62"/>
      <c r="W13" s="62"/>
      <c r="X13" s="62"/>
      <c r="Y13" s="62"/>
      <c r="Z13" s="62"/>
      <c r="AA13" s="81">
        <v>11</v>
      </c>
      <c r="AB13" s="62"/>
      <c r="AC13" s="62"/>
      <c r="AD13" s="62"/>
      <c r="AE13" s="62"/>
      <c r="AF13" s="62"/>
      <c r="AG13" s="62"/>
      <c r="AH13" s="81">
        <v>11</v>
      </c>
      <c r="AI13" s="62"/>
      <c r="AJ13" s="62"/>
      <c r="AK13" s="62"/>
      <c r="AL13" s="62"/>
      <c r="AM13" s="62"/>
      <c r="AN13" s="81">
        <v>11</v>
      </c>
    </row>
    <row r="14" spans="1:40" s="16" customFormat="1" ht="30" customHeight="1" x14ac:dyDescent="0.2">
      <c r="A14" s="90">
        <v>12</v>
      </c>
      <c r="B14" s="128"/>
      <c r="C14" s="61"/>
      <c r="D14" s="61"/>
      <c r="E14" s="61"/>
      <c r="F14" s="61"/>
      <c r="G14" s="61"/>
      <c r="H14" s="61"/>
      <c r="I14" s="102"/>
      <c r="J14" s="123">
        <v>12</v>
      </c>
      <c r="K14" s="61"/>
      <c r="L14" s="62"/>
      <c r="M14" s="62"/>
      <c r="N14" s="62"/>
      <c r="O14" s="85" t="s">
        <v>77</v>
      </c>
      <c r="P14" s="130" t="s">
        <v>795</v>
      </c>
      <c r="Q14" s="62"/>
      <c r="R14" s="62"/>
      <c r="S14" s="62"/>
      <c r="T14" s="81">
        <v>12</v>
      </c>
      <c r="U14" s="62"/>
      <c r="V14" s="62"/>
      <c r="W14" s="62"/>
      <c r="X14" s="62"/>
      <c r="Y14" s="62"/>
      <c r="Z14" s="62"/>
      <c r="AA14" s="81">
        <v>12</v>
      </c>
      <c r="AB14" s="62"/>
      <c r="AC14" s="62"/>
      <c r="AD14" s="62"/>
      <c r="AE14" s="62"/>
      <c r="AF14" s="62"/>
      <c r="AG14" s="62"/>
      <c r="AH14" s="81">
        <v>12</v>
      </c>
      <c r="AI14" s="62"/>
      <c r="AJ14" s="62"/>
      <c r="AK14" s="62"/>
      <c r="AL14" s="62"/>
      <c r="AM14" s="62"/>
      <c r="AN14" s="81">
        <v>12</v>
      </c>
    </row>
    <row r="15" spans="1:40" s="16" customFormat="1" ht="30" customHeight="1" x14ac:dyDescent="0.2">
      <c r="A15" s="90">
        <v>13</v>
      </c>
      <c r="B15" s="128"/>
      <c r="C15" s="61"/>
      <c r="D15" s="61"/>
      <c r="E15" s="61"/>
      <c r="F15" s="61"/>
      <c r="G15" s="61"/>
      <c r="H15" s="62"/>
      <c r="I15" s="103"/>
      <c r="J15" s="123">
        <v>13</v>
      </c>
      <c r="K15" s="62"/>
      <c r="L15" s="62"/>
      <c r="M15" s="63"/>
      <c r="N15" s="62"/>
      <c r="O15" s="85" t="s">
        <v>76</v>
      </c>
      <c r="P15" s="130" t="s">
        <v>794</v>
      </c>
      <c r="Q15" s="62"/>
      <c r="R15" s="62"/>
      <c r="S15" s="62"/>
      <c r="T15" s="81">
        <v>13</v>
      </c>
      <c r="U15" s="62"/>
      <c r="V15" s="62"/>
      <c r="W15" s="62"/>
      <c r="X15" s="62"/>
      <c r="Y15" s="62"/>
      <c r="Z15" s="62"/>
      <c r="AA15" s="81">
        <v>13</v>
      </c>
      <c r="AB15" s="62"/>
      <c r="AC15" s="62"/>
      <c r="AD15" s="62"/>
      <c r="AE15" s="62"/>
      <c r="AF15" s="62"/>
      <c r="AG15" s="62"/>
      <c r="AH15" s="81">
        <v>13</v>
      </c>
      <c r="AI15" s="62"/>
      <c r="AJ15" s="62"/>
      <c r="AK15" s="62"/>
      <c r="AL15" s="62"/>
      <c r="AM15" s="62"/>
      <c r="AN15" s="81">
        <v>13</v>
      </c>
    </row>
    <row r="16" spans="1:40" s="16" customFormat="1" ht="30" customHeight="1" x14ac:dyDescent="0.2">
      <c r="A16" s="90">
        <v>14</v>
      </c>
      <c r="B16" s="128"/>
      <c r="C16" s="61"/>
      <c r="D16" s="61"/>
      <c r="E16" s="61"/>
      <c r="F16" s="61"/>
      <c r="G16" s="61"/>
      <c r="H16" s="62"/>
      <c r="I16" s="104"/>
      <c r="J16" s="123">
        <v>14</v>
      </c>
      <c r="K16" s="62"/>
      <c r="L16" s="62"/>
      <c r="M16" s="63"/>
      <c r="N16" s="62"/>
      <c r="O16" s="85" t="s">
        <v>77</v>
      </c>
      <c r="P16" s="130" t="s">
        <v>795</v>
      </c>
      <c r="Q16" s="62"/>
      <c r="R16" s="62"/>
      <c r="S16" s="62"/>
      <c r="T16" s="81">
        <v>14</v>
      </c>
      <c r="U16" s="62"/>
      <c r="V16" s="62"/>
      <c r="W16" s="62"/>
      <c r="X16" s="62"/>
      <c r="Y16" s="62"/>
      <c r="Z16" s="62"/>
      <c r="AA16" s="81">
        <v>14</v>
      </c>
      <c r="AB16" s="62"/>
      <c r="AC16" s="62"/>
      <c r="AD16" s="62"/>
      <c r="AE16" s="62"/>
      <c r="AF16" s="62"/>
      <c r="AG16" s="62"/>
      <c r="AH16" s="81">
        <v>14</v>
      </c>
      <c r="AI16" s="62"/>
      <c r="AJ16" s="62"/>
      <c r="AK16" s="62"/>
      <c r="AL16" s="62"/>
      <c r="AM16" s="62"/>
      <c r="AN16" s="81">
        <v>14</v>
      </c>
    </row>
    <row r="17" spans="1:40" s="16" customFormat="1" ht="30" customHeight="1" x14ac:dyDescent="0.2">
      <c r="A17" s="91">
        <v>15</v>
      </c>
      <c r="B17" s="128"/>
      <c r="C17" s="61"/>
      <c r="D17" s="61"/>
      <c r="E17" s="61"/>
      <c r="F17" s="61"/>
      <c r="G17" s="61"/>
      <c r="H17" s="61"/>
      <c r="I17" s="104"/>
      <c r="J17" s="124">
        <v>15</v>
      </c>
      <c r="K17" s="61"/>
      <c r="L17" s="62"/>
      <c r="M17" s="63"/>
      <c r="N17" s="62"/>
      <c r="O17" s="85" t="s">
        <v>66</v>
      </c>
      <c r="P17" s="130" t="s">
        <v>796</v>
      </c>
      <c r="Q17" s="62"/>
      <c r="R17" s="62"/>
      <c r="S17" s="62"/>
      <c r="T17" s="82">
        <v>15</v>
      </c>
      <c r="U17" s="62"/>
      <c r="V17" s="62"/>
      <c r="W17" s="62"/>
      <c r="X17" s="62"/>
      <c r="Y17" s="62"/>
      <c r="Z17" s="62"/>
      <c r="AA17" s="82">
        <v>15</v>
      </c>
      <c r="AB17" s="62"/>
      <c r="AC17" s="62"/>
      <c r="AD17" s="62"/>
      <c r="AE17" s="62"/>
      <c r="AF17" s="62"/>
      <c r="AG17" s="62"/>
      <c r="AH17" s="82">
        <v>15</v>
      </c>
      <c r="AI17" s="62"/>
      <c r="AJ17" s="62"/>
      <c r="AK17" s="62"/>
      <c r="AL17" s="62"/>
      <c r="AM17" s="62"/>
      <c r="AN17" s="82">
        <v>15</v>
      </c>
    </row>
    <row r="18" spans="1:40" s="16" customFormat="1" ht="30" customHeight="1" thickBot="1" x14ac:dyDescent="0.25">
      <c r="A18" s="92">
        <v>16</v>
      </c>
      <c r="B18" s="129"/>
      <c r="C18" s="105"/>
      <c r="D18" s="105"/>
      <c r="E18" s="105"/>
      <c r="F18" s="105"/>
      <c r="G18" s="105"/>
      <c r="H18" s="106"/>
      <c r="I18" s="107"/>
      <c r="J18" s="125">
        <v>16</v>
      </c>
      <c r="K18" s="106"/>
      <c r="L18" s="65"/>
      <c r="M18" s="64"/>
      <c r="N18" s="65"/>
      <c r="O18" s="85" t="s">
        <v>67</v>
      </c>
      <c r="P18" s="130" t="s">
        <v>797</v>
      </c>
      <c r="Q18" s="62"/>
      <c r="R18" s="62"/>
      <c r="S18" s="62"/>
      <c r="T18" s="83">
        <v>16</v>
      </c>
      <c r="U18" s="62"/>
      <c r="V18" s="62"/>
      <c r="W18" s="62"/>
      <c r="X18" s="62"/>
      <c r="Y18" s="62"/>
      <c r="Z18" s="62"/>
      <c r="AA18" s="83">
        <v>16</v>
      </c>
      <c r="AB18" s="62"/>
      <c r="AC18" s="62"/>
      <c r="AD18" s="62"/>
      <c r="AE18" s="62"/>
      <c r="AF18" s="62"/>
      <c r="AG18" s="62"/>
      <c r="AH18" s="83">
        <v>16</v>
      </c>
      <c r="AI18" s="62"/>
      <c r="AJ18" s="62"/>
      <c r="AK18" s="62"/>
      <c r="AL18" s="62"/>
      <c r="AM18" s="62"/>
      <c r="AN18" s="83">
        <v>16</v>
      </c>
    </row>
    <row r="19" spans="1:40" s="16" customFormat="1" ht="30" customHeight="1" thickBot="1" x14ac:dyDescent="0.25">
      <c r="A19" s="5" t="s">
        <v>14</v>
      </c>
      <c r="B19" s="93" t="str">
        <f t="shared" ref="B19:I19" si="0">(B1)</f>
        <v>PLUG 1</v>
      </c>
      <c r="C19" s="94" t="str">
        <f t="shared" si="0"/>
        <v>PLUG 2</v>
      </c>
      <c r="D19" s="94" t="str">
        <f t="shared" si="0"/>
        <v>PLUG 3</v>
      </c>
      <c r="E19" s="94" t="str">
        <f t="shared" si="0"/>
        <v>PLUG 4</v>
      </c>
      <c r="F19" s="94" t="str">
        <f>(F1)</f>
        <v>PLUG31</v>
      </c>
      <c r="G19" s="94" t="str">
        <f>(G1)</f>
        <v>PLUG32</v>
      </c>
      <c r="H19" s="94" t="str">
        <f t="shared" si="0"/>
        <v>PLUG 5</v>
      </c>
      <c r="I19" s="94" t="str">
        <f t="shared" si="0"/>
        <v>PLUG 6</v>
      </c>
      <c r="J19" s="5" t="s">
        <v>14</v>
      </c>
      <c r="K19" s="15" t="str">
        <f t="shared" ref="K19:S19" si="1">(K1)</f>
        <v xml:space="preserve">PLUG33 </v>
      </c>
      <c r="L19" s="15" t="str">
        <f t="shared" si="1"/>
        <v>PLUG34</v>
      </c>
      <c r="M19" s="15" t="str">
        <f t="shared" si="1"/>
        <v>PLUG 7</v>
      </c>
      <c r="N19" s="15" t="str">
        <f t="shared" si="1"/>
        <v>PLUG 8</v>
      </c>
      <c r="O19" s="84" t="str">
        <f t="shared" si="1"/>
        <v>PLUG 9</v>
      </c>
      <c r="P19" s="84" t="str">
        <f>(P1)</f>
        <v>PLUG 39</v>
      </c>
      <c r="Q19" s="15" t="str">
        <f t="shared" si="1"/>
        <v>PLUG 10</v>
      </c>
      <c r="R19" s="15" t="str">
        <f t="shared" si="1"/>
        <v>PLUG 11</v>
      </c>
      <c r="S19" s="15" t="str">
        <f t="shared" si="1"/>
        <v>PLUG 12</v>
      </c>
      <c r="T19" s="5" t="s">
        <v>14</v>
      </c>
      <c r="U19" s="84" t="str">
        <f t="shared" ref="U19:Z19" si="2">(U1)</f>
        <v>PLUG 13</v>
      </c>
      <c r="V19" s="15" t="str">
        <f t="shared" si="2"/>
        <v>PLUG 14</v>
      </c>
      <c r="W19" s="15" t="str">
        <f t="shared" si="2"/>
        <v>PLUG 15</v>
      </c>
      <c r="X19" s="15" t="str">
        <f t="shared" si="2"/>
        <v>PLUG 16</v>
      </c>
      <c r="Y19" s="15" t="str">
        <f t="shared" si="2"/>
        <v>PLUG 17</v>
      </c>
      <c r="Z19" s="15" t="str">
        <f t="shared" si="2"/>
        <v>PLUG 18</v>
      </c>
      <c r="AA19" s="5" t="s">
        <v>14</v>
      </c>
      <c r="AB19" s="84" t="str">
        <f t="shared" ref="AB19:AG19" si="3">(AB1)</f>
        <v>PLUG 19</v>
      </c>
      <c r="AC19" s="15" t="str">
        <f t="shared" si="3"/>
        <v>PLUG 20</v>
      </c>
      <c r="AD19" s="15" t="str">
        <f t="shared" si="3"/>
        <v>PLUG 21</v>
      </c>
      <c r="AE19" s="15" t="str">
        <f t="shared" si="3"/>
        <v>PLUG 22</v>
      </c>
      <c r="AF19" s="15" t="str">
        <f t="shared" si="3"/>
        <v>PLUG 23</v>
      </c>
      <c r="AG19" s="15" t="str">
        <f t="shared" si="3"/>
        <v>PLUG 24</v>
      </c>
      <c r="AH19" s="5" t="s">
        <v>14</v>
      </c>
      <c r="AI19" s="84" t="str">
        <f>(AI1)</f>
        <v>PLUG 25</v>
      </c>
      <c r="AJ19" s="15" t="str">
        <f>(AJ1)</f>
        <v>PLUG 26</v>
      </c>
      <c r="AK19" s="15" t="str">
        <f>(AK1)</f>
        <v>PLUG 27</v>
      </c>
      <c r="AL19" s="15" t="str">
        <f>(AL1)</f>
        <v>PLUG28</v>
      </c>
      <c r="AM19" s="15">
        <f>(AM1)</f>
        <v>0</v>
      </c>
      <c r="AN19" s="5" t="s">
        <v>14</v>
      </c>
    </row>
    <row r="21" spans="1:40" x14ac:dyDescent="0.2">
      <c r="K21" s="185"/>
      <c r="L21" s="185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79" fitToWidth="3" orientation="landscape" horizontalDpi="4294967294" verticalDpi="300" r:id="rId1"/>
  <headerFooter alignWithMargins="0">
    <oddHeader>&amp;LE22&amp;C&amp;F&amp;RPLUGS</oddHeader>
  </headerFooter>
  <colBreaks count="2" manualBreakCount="2">
    <brk id="14" max="1048575" man="1"/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AA76"/>
  <sheetViews>
    <sheetView showGridLines="0" workbookViewId="0">
      <selection activeCell="A35" sqref="A35"/>
    </sheetView>
  </sheetViews>
  <sheetFormatPr defaultRowHeight="12.75" x14ac:dyDescent="0.2"/>
  <cols>
    <col min="1" max="1" width="32.85546875" customWidth="1"/>
    <col min="2" max="2" width="11.5703125" customWidth="1"/>
    <col min="3" max="3" width="9.7109375" customWidth="1"/>
    <col min="4" max="6" width="5.7109375" customWidth="1"/>
    <col min="7" max="9" width="8.7109375" customWidth="1"/>
    <col min="10" max="10" width="10.42578125" customWidth="1"/>
    <col min="11" max="11" width="10.85546875" customWidth="1"/>
    <col min="15" max="15" width="10.7109375" customWidth="1"/>
    <col min="16" max="16" width="8.7109375" bestFit="1" customWidth="1"/>
    <col min="17" max="17" width="9" bestFit="1" customWidth="1"/>
    <col min="18" max="18" width="20.5703125" customWidth="1"/>
    <col min="19" max="19" width="8.7109375" bestFit="1" customWidth="1"/>
    <col min="20" max="20" width="9" bestFit="1" customWidth="1"/>
    <col min="21" max="21" width="16.42578125" customWidth="1"/>
    <col min="22" max="22" width="16.5703125" customWidth="1"/>
  </cols>
  <sheetData>
    <row r="1" spans="1:24" x14ac:dyDescent="0.2">
      <c r="A1" s="7" t="s">
        <v>277</v>
      </c>
      <c r="T1" t="s">
        <v>168</v>
      </c>
    </row>
    <row r="2" spans="1:24" x14ac:dyDescent="0.2">
      <c r="T2" t="s">
        <v>169</v>
      </c>
    </row>
    <row r="3" spans="1:24" x14ac:dyDescent="0.2">
      <c r="A3" t="s">
        <v>108</v>
      </c>
      <c r="T3" s="28" t="s">
        <v>170</v>
      </c>
    </row>
    <row r="4" spans="1:24" x14ac:dyDescent="0.2">
      <c r="N4" s="256" t="s">
        <v>171</v>
      </c>
      <c r="O4" s="256"/>
      <c r="T4" s="28" t="s">
        <v>172</v>
      </c>
    </row>
    <row r="5" spans="1:24" x14ac:dyDescent="0.2">
      <c r="A5" t="s">
        <v>93</v>
      </c>
      <c r="B5" t="s">
        <v>94</v>
      </c>
      <c r="C5" t="s">
        <v>8</v>
      </c>
      <c r="D5" s="257" t="s">
        <v>95</v>
      </c>
      <c r="E5" s="257"/>
      <c r="F5" s="257"/>
      <c r="K5" t="s">
        <v>264</v>
      </c>
      <c r="L5" t="s">
        <v>265</v>
      </c>
      <c r="N5" t="s">
        <v>173</v>
      </c>
      <c r="O5" t="s">
        <v>174</v>
      </c>
      <c r="T5" s="28" t="s">
        <v>175</v>
      </c>
      <c r="X5" s="10"/>
    </row>
    <row r="6" spans="1:24" x14ac:dyDescent="0.2">
      <c r="A6" s="24" t="s">
        <v>10</v>
      </c>
      <c r="B6" s="2">
        <v>8</v>
      </c>
      <c r="C6" s="2">
        <v>3.05</v>
      </c>
      <c r="D6" s="253">
        <f t="shared" ref="D6:D14" si="0">SUM(B6*C6)</f>
        <v>24.4</v>
      </c>
      <c r="E6" s="254"/>
      <c r="F6" s="255"/>
      <c r="G6" s="23"/>
      <c r="K6" s="1">
        <v>1.75</v>
      </c>
      <c r="L6" s="1">
        <f t="shared" ref="L6:L14" si="1">K6*B6</f>
        <v>14</v>
      </c>
      <c r="N6" s="29">
        <f t="shared" ref="N6:N14" si="2">K6/0.57436</f>
        <v>3.0468695591615016</v>
      </c>
      <c r="O6" s="29">
        <f t="shared" ref="O6:O14" si="3">C6*0.57436</f>
        <v>1.7517979999999997</v>
      </c>
      <c r="T6" s="28" t="s">
        <v>176</v>
      </c>
      <c r="X6" s="10"/>
    </row>
    <row r="7" spans="1:24" x14ac:dyDescent="0.2">
      <c r="A7" s="24" t="s">
        <v>11</v>
      </c>
      <c r="B7" s="2">
        <v>0</v>
      </c>
      <c r="C7" s="2">
        <v>1.1000000000000001</v>
      </c>
      <c r="D7" s="253">
        <f t="shared" si="0"/>
        <v>0</v>
      </c>
      <c r="E7" s="254"/>
      <c r="F7" s="255"/>
      <c r="G7" s="23"/>
      <c r="K7" s="1">
        <v>0.44</v>
      </c>
      <c r="L7" s="1">
        <f t="shared" si="1"/>
        <v>0</v>
      </c>
      <c r="N7" s="29">
        <f t="shared" si="2"/>
        <v>0.76607006058917759</v>
      </c>
      <c r="O7" s="29">
        <f t="shared" si="3"/>
        <v>0.63179600000000002</v>
      </c>
      <c r="T7" s="28" t="s">
        <v>177</v>
      </c>
      <c r="X7" s="10"/>
    </row>
    <row r="8" spans="1:24" x14ac:dyDescent="0.2">
      <c r="A8" s="24" t="s">
        <v>12</v>
      </c>
      <c r="B8" s="2">
        <v>4</v>
      </c>
      <c r="C8" s="2">
        <v>9</v>
      </c>
      <c r="D8" s="253">
        <f t="shared" si="0"/>
        <v>36</v>
      </c>
      <c r="E8" s="254"/>
      <c r="F8" s="254"/>
      <c r="G8" s="23"/>
      <c r="K8" s="1">
        <v>5</v>
      </c>
      <c r="L8" s="1">
        <f t="shared" si="1"/>
        <v>20</v>
      </c>
      <c r="N8" s="29">
        <f t="shared" si="2"/>
        <v>8.7053415976042903</v>
      </c>
      <c r="O8" s="29">
        <f t="shared" si="3"/>
        <v>5.1692400000000003</v>
      </c>
      <c r="T8" s="28" t="s">
        <v>178</v>
      </c>
      <c r="X8" s="10"/>
    </row>
    <row r="9" spans="1:24" x14ac:dyDescent="0.2">
      <c r="A9" s="24" t="s">
        <v>82</v>
      </c>
      <c r="B9" s="2">
        <v>0</v>
      </c>
      <c r="C9" s="2">
        <v>2.6</v>
      </c>
      <c r="D9" s="253">
        <f t="shared" si="0"/>
        <v>0</v>
      </c>
      <c r="E9" s="254"/>
      <c r="F9" s="255"/>
      <c r="G9" s="23"/>
      <c r="K9" s="1">
        <v>1.5</v>
      </c>
      <c r="L9" s="1">
        <f t="shared" si="1"/>
        <v>0</v>
      </c>
      <c r="N9" s="29">
        <f t="shared" si="2"/>
        <v>2.6116024792812871</v>
      </c>
      <c r="O9" s="29">
        <f t="shared" si="3"/>
        <v>1.493336</v>
      </c>
      <c r="T9" s="28" t="s">
        <v>179</v>
      </c>
      <c r="X9" s="10"/>
    </row>
    <row r="10" spans="1:24" x14ac:dyDescent="0.2">
      <c r="A10" s="24" t="s">
        <v>81</v>
      </c>
      <c r="B10" s="2">
        <v>0</v>
      </c>
      <c r="C10" s="2">
        <v>2.6</v>
      </c>
      <c r="D10" s="253">
        <f t="shared" si="0"/>
        <v>0</v>
      </c>
      <c r="E10" s="254"/>
      <c r="F10" s="255"/>
      <c r="G10" s="23"/>
      <c r="K10" s="1">
        <v>1.5</v>
      </c>
      <c r="L10" s="1">
        <f t="shared" si="1"/>
        <v>0</v>
      </c>
      <c r="N10" s="29">
        <f t="shared" si="2"/>
        <v>2.6116024792812871</v>
      </c>
      <c r="O10" s="29">
        <f t="shared" si="3"/>
        <v>1.493336</v>
      </c>
      <c r="T10" s="28" t="s">
        <v>180</v>
      </c>
      <c r="X10" s="10"/>
    </row>
    <row r="11" spans="1:24" x14ac:dyDescent="0.2">
      <c r="A11" s="24" t="s">
        <v>262</v>
      </c>
      <c r="B11" s="2">
        <v>2</v>
      </c>
      <c r="C11" s="2">
        <v>3.78</v>
      </c>
      <c r="D11" s="253">
        <f t="shared" si="0"/>
        <v>7.56</v>
      </c>
      <c r="E11" s="254"/>
      <c r="F11" s="255"/>
      <c r="G11" s="23"/>
      <c r="K11" s="1">
        <v>1.94</v>
      </c>
      <c r="L11" s="1">
        <f t="shared" si="1"/>
        <v>3.88</v>
      </c>
      <c r="N11" s="29">
        <f t="shared" si="2"/>
        <v>3.3776725398704643</v>
      </c>
      <c r="O11" s="29">
        <f t="shared" si="3"/>
        <v>2.1710807999999999</v>
      </c>
      <c r="T11" s="28" t="s">
        <v>181</v>
      </c>
      <c r="X11" s="10"/>
    </row>
    <row r="12" spans="1:24" ht="13.5" thickBot="1" x14ac:dyDescent="0.25">
      <c r="A12" s="24" t="s">
        <v>1065</v>
      </c>
      <c r="B12" s="2">
        <v>0</v>
      </c>
      <c r="C12" s="2">
        <v>7</v>
      </c>
      <c r="D12" s="253">
        <f t="shared" si="0"/>
        <v>0</v>
      </c>
      <c r="E12" s="254"/>
      <c r="F12" s="255"/>
      <c r="G12" s="23"/>
      <c r="K12" s="1">
        <v>4</v>
      </c>
      <c r="L12" s="1">
        <f t="shared" si="1"/>
        <v>0</v>
      </c>
      <c r="N12" s="29">
        <f t="shared" si="2"/>
        <v>6.9642732780834322</v>
      </c>
      <c r="O12" s="29">
        <f t="shared" si="3"/>
        <v>4.0205199999999994</v>
      </c>
      <c r="T12" s="28" t="s">
        <v>182</v>
      </c>
      <c r="X12" s="10"/>
    </row>
    <row r="13" spans="1:24" x14ac:dyDescent="0.2">
      <c r="A13" s="1" t="s">
        <v>9</v>
      </c>
      <c r="B13" s="2">
        <v>1</v>
      </c>
      <c r="C13" s="2">
        <v>2</v>
      </c>
      <c r="D13" s="253">
        <f t="shared" si="0"/>
        <v>2</v>
      </c>
      <c r="E13" s="254"/>
      <c r="F13" s="255"/>
      <c r="G13" s="23"/>
      <c r="K13" s="1">
        <v>1.1499999999999999</v>
      </c>
      <c r="L13" s="1">
        <f t="shared" si="1"/>
        <v>1.1499999999999999</v>
      </c>
      <c r="N13" s="29">
        <f t="shared" si="2"/>
        <v>2.0022285674489866</v>
      </c>
      <c r="O13" s="29">
        <f t="shared" si="3"/>
        <v>1.14872</v>
      </c>
      <c r="T13" s="31" t="s">
        <v>184</v>
      </c>
      <c r="U13" s="32"/>
      <c r="V13" s="32"/>
      <c r="W13" s="33"/>
      <c r="X13" s="10"/>
    </row>
    <row r="14" spans="1:24" ht="13.5" thickBot="1" x14ac:dyDescent="0.25">
      <c r="A14" s="1" t="s">
        <v>278</v>
      </c>
      <c r="B14" s="2">
        <v>0</v>
      </c>
      <c r="C14" s="2">
        <v>10</v>
      </c>
      <c r="D14" s="253">
        <f t="shared" si="0"/>
        <v>0</v>
      </c>
      <c r="E14" s="254"/>
      <c r="F14" s="254"/>
      <c r="G14" s="23"/>
      <c r="K14" s="1">
        <v>5.5</v>
      </c>
      <c r="L14" s="1">
        <f t="shared" si="1"/>
        <v>0</v>
      </c>
      <c r="N14" s="29">
        <f t="shared" si="2"/>
        <v>9.5758757573647184</v>
      </c>
      <c r="O14" s="29">
        <f t="shared" si="3"/>
        <v>5.7435999999999998</v>
      </c>
      <c r="T14" s="34" t="s">
        <v>185</v>
      </c>
      <c r="U14" s="10" t="s">
        <v>186</v>
      </c>
      <c r="V14" s="10" t="s">
        <v>187</v>
      </c>
      <c r="W14" s="35" t="s">
        <v>188</v>
      </c>
      <c r="X14" s="10"/>
    </row>
    <row r="15" spans="1:24" ht="13.5" thickBot="1" x14ac:dyDescent="0.25">
      <c r="A15" s="19"/>
      <c r="B15" s="19"/>
      <c r="C15" s="19"/>
      <c r="D15" s="19"/>
      <c r="E15" s="19"/>
      <c r="F15" s="19"/>
      <c r="G15" s="20"/>
      <c r="K15" s="258" t="s">
        <v>183</v>
      </c>
      <c r="L15" s="19"/>
      <c r="N15" s="30"/>
      <c r="O15" s="30"/>
      <c r="T15" s="36">
        <f>FLOOR((U15/V15),0.01)</f>
        <v>0.95000000000000007</v>
      </c>
      <c r="U15" s="37">
        <v>23</v>
      </c>
      <c r="V15" s="38">
        <v>24</v>
      </c>
      <c r="W15" s="39"/>
      <c r="X15" s="10"/>
    </row>
    <row r="16" spans="1:24" ht="13.5" thickBot="1" x14ac:dyDescent="0.25">
      <c r="D16" s="260">
        <f>SUM(D6:F14)</f>
        <v>69.959999999999994</v>
      </c>
      <c r="E16" s="261"/>
      <c r="F16" s="262"/>
      <c r="G16" s="20"/>
      <c r="K16" s="259"/>
      <c r="L16" s="8">
        <f>SUM(L6:L14)</f>
        <v>39.03</v>
      </c>
      <c r="N16" s="18">
        <f>L16/0.57436</f>
        <v>67.953896510899085</v>
      </c>
      <c r="O16" s="18">
        <f>D16*0.57436</f>
        <v>40.182225599999995</v>
      </c>
      <c r="T16" s="34" t="s">
        <v>189</v>
      </c>
      <c r="U16" s="10" t="s">
        <v>190</v>
      </c>
      <c r="V16" s="10" t="s">
        <v>191</v>
      </c>
      <c r="W16" s="39" t="s">
        <v>192</v>
      </c>
      <c r="X16" s="10"/>
    </row>
    <row r="17" spans="1:25" ht="13.5" thickBot="1" x14ac:dyDescent="0.25">
      <c r="D17" s="10"/>
      <c r="E17" s="10"/>
      <c r="F17" s="10"/>
      <c r="G17" s="20"/>
      <c r="K17" s="259"/>
      <c r="T17" s="36">
        <f>FLOOR((U17*V17),0.1)</f>
        <v>50</v>
      </c>
      <c r="U17" s="37">
        <v>5</v>
      </c>
      <c r="V17" s="38">
        <v>10</v>
      </c>
      <c r="W17" s="39"/>
      <c r="X17" s="10"/>
    </row>
    <row r="18" spans="1:25" ht="13.5" thickBot="1" x14ac:dyDescent="0.25">
      <c r="A18" t="s">
        <v>109</v>
      </c>
      <c r="D18" s="201"/>
      <c r="E18" s="202" t="s">
        <v>85</v>
      </c>
      <c r="F18" s="50"/>
      <c r="G18" s="22"/>
      <c r="H18" s="202" t="s">
        <v>85</v>
      </c>
      <c r="I18" s="50"/>
      <c r="T18" s="34" t="s">
        <v>193</v>
      </c>
      <c r="U18" s="10" t="s">
        <v>186</v>
      </c>
      <c r="V18" s="10" t="s">
        <v>194</v>
      </c>
      <c r="W18" s="39"/>
      <c r="X18" s="10"/>
    </row>
    <row r="19" spans="1:25" ht="13.5" thickBot="1" x14ac:dyDescent="0.25">
      <c r="A19" s="21"/>
      <c r="B19" s="21"/>
      <c r="C19" s="21" t="s">
        <v>8</v>
      </c>
      <c r="D19" s="200" t="s">
        <v>87</v>
      </c>
      <c r="E19" s="200" t="s">
        <v>88</v>
      </c>
      <c r="F19" s="200" t="s">
        <v>89</v>
      </c>
      <c r="G19" s="200" t="s">
        <v>110</v>
      </c>
      <c r="H19" s="200" t="s">
        <v>6</v>
      </c>
      <c r="I19" s="200" t="s">
        <v>7</v>
      </c>
      <c r="K19" s="21"/>
      <c r="L19" s="21"/>
      <c r="T19" s="36">
        <f>FLOOR((U19/V19),0.1)</f>
        <v>5</v>
      </c>
      <c r="U19" s="37">
        <v>50</v>
      </c>
      <c r="V19" s="38">
        <v>10</v>
      </c>
      <c r="W19" s="41"/>
    </row>
    <row r="20" spans="1:25" ht="13.5" thickBot="1" x14ac:dyDescent="0.25">
      <c r="A20" s="24" t="s">
        <v>80</v>
      </c>
      <c r="B20" s="2">
        <v>14</v>
      </c>
      <c r="C20" s="40">
        <v>9.1999999999999993</v>
      </c>
      <c r="D20" s="58">
        <v>5</v>
      </c>
      <c r="E20" s="59">
        <v>5</v>
      </c>
      <c r="F20" s="60">
        <v>4</v>
      </c>
      <c r="G20" s="2">
        <f t="shared" ref="G20:G32" si="4">(C20*D20)</f>
        <v>46</v>
      </c>
      <c r="H20" s="2">
        <f t="shared" ref="H20:H32" si="5">(C20*E20)</f>
        <v>46</v>
      </c>
      <c r="I20" s="2">
        <f t="shared" ref="I20:I32" si="6">(C20*F20)</f>
        <v>36.799999999999997</v>
      </c>
      <c r="J20" s="30"/>
      <c r="K20" s="1">
        <v>2.2000000000000002</v>
      </c>
      <c r="L20" s="1">
        <f>K20*B20</f>
        <v>30.800000000000004</v>
      </c>
      <c r="T20" s="10"/>
      <c r="U20" s="10"/>
      <c r="V20" s="10"/>
    </row>
    <row r="21" spans="1:25" x14ac:dyDescent="0.2">
      <c r="A21" s="24" t="s">
        <v>267</v>
      </c>
      <c r="B21" s="2">
        <v>2</v>
      </c>
      <c r="C21" s="40">
        <v>2.9</v>
      </c>
      <c r="D21" s="58"/>
      <c r="E21" s="59">
        <v>1</v>
      </c>
      <c r="F21" s="60">
        <v>1</v>
      </c>
      <c r="G21" s="2">
        <f t="shared" si="4"/>
        <v>0</v>
      </c>
      <c r="H21" s="2">
        <f t="shared" si="5"/>
        <v>2.9</v>
      </c>
      <c r="I21" s="2">
        <f t="shared" si="6"/>
        <v>2.9</v>
      </c>
      <c r="J21" s="30"/>
      <c r="K21" s="1">
        <v>0.67</v>
      </c>
      <c r="L21" s="1">
        <f>K21*B21</f>
        <v>1.34</v>
      </c>
      <c r="T21" s="31" t="s">
        <v>195</v>
      </c>
      <c r="U21" s="43"/>
      <c r="V21" s="43"/>
      <c r="W21" s="32"/>
      <c r="X21" s="32"/>
      <c r="Y21" s="33"/>
    </row>
    <row r="22" spans="1:25" ht="13.5" thickBot="1" x14ac:dyDescent="0.25">
      <c r="A22" s="24" t="s">
        <v>266</v>
      </c>
      <c r="B22" s="2">
        <v>0</v>
      </c>
      <c r="C22" s="40">
        <v>5.6</v>
      </c>
      <c r="D22" s="58"/>
      <c r="E22" s="59"/>
      <c r="F22" s="60"/>
      <c r="G22" s="2">
        <f t="shared" si="4"/>
        <v>0</v>
      </c>
      <c r="H22" s="2">
        <f t="shared" si="5"/>
        <v>0</v>
      </c>
      <c r="I22" s="2">
        <f t="shared" si="6"/>
        <v>0</v>
      </c>
      <c r="J22" s="30"/>
      <c r="K22" s="1"/>
      <c r="L22" s="1"/>
      <c r="T22" s="34" t="s">
        <v>196</v>
      </c>
      <c r="U22" s="10"/>
      <c r="V22" s="10"/>
      <c r="Y22" s="39"/>
    </row>
    <row r="23" spans="1:25" ht="13.5" thickBot="1" x14ac:dyDescent="0.25">
      <c r="A23" s="1" t="s">
        <v>13</v>
      </c>
      <c r="B23" s="2">
        <v>1</v>
      </c>
      <c r="C23" s="40">
        <v>1.9</v>
      </c>
      <c r="D23" s="58"/>
      <c r="E23" s="59"/>
      <c r="F23" s="60">
        <v>1</v>
      </c>
      <c r="G23" s="2">
        <f t="shared" si="4"/>
        <v>0</v>
      </c>
      <c r="H23" s="2">
        <f t="shared" si="5"/>
        <v>0</v>
      </c>
      <c r="I23" s="2">
        <f t="shared" si="6"/>
        <v>1.9</v>
      </c>
      <c r="J23" s="30"/>
      <c r="K23" s="1">
        <v>0.44</v>
      </c>
      <c r="L23" s="1">
        <f t="shared" ref="L23:L29" si="7">K23*B23</f>
        <v>0.44</v>
      </c>
      <c r="T23" s="34" t="s">
        <v>197</v>
      </c>
      <c r="U23" s="44">
        <v>0.2</v>
      </c>
      <c r="V23" s="10" t="s">
        <v>198</v>
      </c>
      <c r="W23" s="44">
        <v>240</v>
      </c>
      <c r="X23" s="10" t="s">
        <v>264</v>
      </c>
      <c r="Y23" s="44">
        <v>2.2000000000000002</v>
      </c>
    </row>
    <row r="24" spans="1:25" x14ac:dyDescent="0.2">
      <c r="A24" s="1" t="s">
        <v>2</v>
      </c>
      <c r="B24" s="2">
        <v>1</v>
      </c>
      <c r="C24" s="42">
        <v>10</v>
      </c>
      <c r="D24" s="58"/>
      <c r="E24" s="59"/>
      <c r="F24" s="60">
        <v>1</v>
      </c>
      <c r="G24" s="2">
        <f t="shared" si="4"/>
        <v>0</v>
      </c>
      <c r="H24" s="2">
        <f t="shared" si="5"/>
        <v>0</v>
      </c>
      <c r="I24" s="2">
        <f t="shared" si="6"/>
        <v>10</v>
      </c>
      <c r="J24" s="30"/>
      <c r="K24" s="1">
        <v>1</v>
      </c>
      <c r="L24" s="1">
        <f t="shared" si="7"/>
        <v>1</v>
      </c>
      <c r="T24" s="34"/>
      <c r="U24" s="28" t="s">
        <v>199</v>
      </c>
      <c r="V24" s="10"/>
      <c r="Y24" s="39"/>
    </row>
    <row r="25" spans="1:25" x14ac:dyDescent="0.2">
      <c r="A25" s="1" t="s">
        <v>398</v>
      </c>
      <c r="B25" s="2">
        <v>1</v>
      </c>
      <c r="C25" s="42">
        <v>6</v>
      </c>
      <c r="D25" s="58">
        <v>1</v>
      </c>
      <c r="E25" s="59"/>
      <c r="F25" s="60"/>
      <c r="G25" s="2">
        <f t="shared" si="4"/>
        <v>6</v>
      </c>
      <c r="H25" s="2">
        <f t="shared" si="5"/>
        <v>0</v>
      </c>
      <c r="I25" s="2">
        <f t="shared" si="6"/>
        <v>0</v>
      </c>
      <c r="J25" s="30"/>
      <c r="K25" s="1"/>
      <c r="L25" s="1"/>
      <c r="T25" s="45"/>
      <c r="Y25" s="39"/>
    </row>
    <row r="26" spans="1:25" ht="13.5" thickBot="1" x14ac:dyDescent="0.25">
      <c r="A26" s="1" t="s">
        <v>83</v>
      </c>
      <c r="B26" s="2">
        <v>0</v>
      </c>
      <c r="C26" s="40">
        <v>2.5</v>
      </c>
      <c r="D26" s="58"/>
      <c r="E26" s="59"/>
      <c r="F26" s="60"/>
      <c r="G26" s="2">
        <f t="shared" si="4"/>
        <v>0</v>
      </c>
      <c r="H26" s="2">
        <f t="shared" si="5"/>
        <v>0</v>
      </c>
      <c r="I26" s="2">
        <f t="shared" si="6"/>
        <v>0</v>
      </c>
      <c r="J26" s="30"/>
      <c r="K26" s="1">
        <v>0.6</v>
      </c>
      <c r="L26" s="1">
        <f t="shared" si="7"/>
        <v>0</v>
      </c>
      <c r="T26" s="34" t="s">
        <v>185</v>
      </c>
      <c r="U26" s="10" t="s">
        <v>186</v>
      </c>
      <c r="V26" s="10" t="s">
        <v>203</v>
      </c>
      <c r="W26" s="10" t="s">
        <v>204</v>
      </c>
      <c r="X26" s="263" t="s">
        <v>205</v>
      </c>
      <c r="Y26" s="263"/>
    </row>
    <row r="27" spans="1:25" ht="13.5" thickBot="1" x14ac:dyDescent="0.25">
      <c r="A27" s="1" t="s">
        <v>84</v>
      </c>
      <c r="B27" s="2">
        <v>0</v>
      </c>
      <c r="C27" s="40">
        <v>0.5</v>
      </c>
      <c r="D27" s="58"/>
      <c r="E27" s="59"/>
      <c r="F27" s="60"/>
      <c r="G27" s="2">
        <f t="shared" si="4"/>
        <v>0</v>
      </c>
      <c r="H27" s="2">
        <f t="shared" si="5"/>
        <v>0</v>
      </c>
      <c r="I27" s="2">
        <f t="shared" si="6"/>
        <v>0</v>
      </c>
      <c r="J27" s="30"/>
      <c r="K27" s="1">
        <v>0.12</v>
      </c>
      <c r="L27" s="1">
        <f t="shared" si="7"/>
        <v>0</v>
      </c>
      <c r="T27" s="46">
        <f>FLOOR(((U27)/(V27*W27)),0.01)</f>
        <v>9.16</v>
      </c>
      <c r="U27" s="47">
        <f>Y23*1000</f>
        <v>2200</v>
      </c>
      <c r="V27" s="47">
        <f>W23</f>
        <v>240</v>
      </c>
      <c r="W27" s="48">
        <v>1</v>
      </c>
      <c r="X27" s="10"/>
      <c r="Y27" s="199"/>
    </row>
    <row r="28" spans="1:25" ht="13.5" thickBot="1" x14ac:dyDescent="0.25">
      <c r="A28" s="1" t="s">
        <v>263</v>
      </c>
      <c r="B28" s="2">
        <v>1</v>
      </c>
      <c r="C28" s="3">
        <v>0.02</v>
      </c>
      <c r="D28" s="58"/>
      <c r="E28" s="59"/>
      <c r="F28" s="60">
        <v>1</v>
      </c>
      <c r="G28" s="2">
        <f t="shared" si="4"/>
        <v>0</v>
      </c>
      <c r="H28" s="2">
        <f t="shared" si="5"/>
        <v>0</v>
      </c>
      <c r="I28" s="2">
        <f t="shared" si="6"/>
        <v>0.02</v>
      </c>
      <c r="J28" s="30"/>
      <c r="K28" s="1">
        <v>0.12</v>
      </c>
      <c r="L28" s="1">
        <f t="shared" si="7"/>
        <v>0.12</v>
      </c>
      <c r="T28" s="34" t="s">
        <v>189</v>
      </c>
      <c r="U28" s="10" t="s">
        <v>190</v>
      </c>
      <c r="V28" s="10" t="s">
        <v>191</v>
      </c>
      <c r="W28" s="10" t="s">
        <v>208</v>
      </c>
      <c r="X28" s="263" t="s">
        <v>209</v>
      </c>
      <c r="Y28" s="263"/>
    </row>
    <row r="29" spans="1:25" ht="13.5" thickBot="1" x14ac:dyDescent="0.25">
      <c r="A29" s="1" t="s">
        <v>92</v>
      </c>
      <c r="B29" s="2">
        <v>1</v>
      </c>
      <c r="C29" s="40">
        <v>4.5</v>
      </c>
      <c r="D29" s="58"/>
      <c r="E29" s="59">
        <v>1</v>
      </c>
      <c r="F29" s="60"/>
      <c r="G29" s="2">
        <f t="shared" si="4"/>
        <v>0</v>
      </c>
      <c r="H29" s="2">
        <f t="shared" si="5"/>
        <v>4.5</v>
      </c>
      <c r="I29" s="2">
        <f t="shared" si="6"/>
        <v>0</v>
      </c>
      <c r="J29" s="30"/>
      <c r="K29" s="1">
        <v>1.1000000000000001</v>
      </c>
      <c r="L29" s="1">
        <f t="shared" si="7"/>
        <v>1.1000000000000001</v>
      </c>
      <c r="N29" s="4" t="s">
        <v>200</v>
      </c>
      <c r="O29" s="18">
        <f>(D34*240)/1000</f>
        <v>12.875999999999999</v>
      </c>
      <c r="P29" t="s">
        <v>201</v>
      </c>
      <c r="T29" s="36">
        <f>FLOOR((U29*V29*W29),0.01)</f>
        <v>48</v>
      </c>
      <c r="U29" s="46">
        <f>W23</f>
        <v>240</v>
      </c>
      <c r="V29" s="49">
        <f>U23</f>
        <v>0.2</v>
      </c>
      <c r="W29" s="48">
        <f>T35</f>
        <v>1</v>
      </c>
      <c r="Y29" s="39"/>
    </row>
    <row r="30" spans="1:25" ht="13.5" thickBot="1" x14ac:dyDescent="0.25">
      <c r="A30" s="1" t="s">
        <v>291</v>
      </c>
      <c r="B30" s="2">
        <v>1</v>
      </c>
      <c r="C30" s="3">
        <v>0.25</v>
      </c>
      <c r="D30" s="58"/>
      <c r="E30" s="59">
        <v>1</v>
      </c>
      <c r="F30" s="60"/>
      <c r="G30" s="2">
        <f t="shared" si="4"/>
        <v>0</v>
      </c>
      <c r="H30" s="2">
        <f t="shared" si="5"/>
        <v>0.25</v>
      </c>
      <c r="I30" s="2">
        <f t="shared" si="6"/>
        <v>0</v>
      </c>
      <c r="J30" s="30"/>
      <c r="K30" s="1"/>
      <c r="L30" s="1"/>
      <c r="N30" s="27" t="s">
        <v>202</v>
      </c>
      <c r="T30" s="34" t="s">
        <v>193</v>
      </c>
      <c r="U30" s="10" t="s">
        <v>186</v>
      </c>
      <c r="V30" s="10" t="s">
        <v>194</v>
      </c>
      <c r="W30" t="s">
        <v>211</v>
      </c>
      <c r="Y30" s="39"/>
    </row>
    <row r="31" spans="1:25" ht="13.5" thickBot="1" x14ac:dyDescent="0.25">
      <c r="A31" s="1"/>
      <c r="B31" s="2"/>
      <c r="C31" s="3"/>
      <c r="D31" s="58"/>
      <c r="E31" s="59"/>
      <c r="F31" s="60"/>
      <c r="G31" s="2">
        <f t="shared" si="4"/>
        <v>0</v>
      </c>
      <c r="H31" s="2">
        <f t="shared" si="5"/>
        <v>0</v>
      </c>
      <c r="I31" s="2">
        <f t="shared" si="6"/>
        <v>0</v>
      </c>
      <c r="J31" s="30"/>
      <c r="K31" s="1"/>
      <c r="L31" s="1"/>
      <c r="N31" s="4" t="s">
        <v>206</v>
      </c>
      <c r="O31" s="18">
        <f>O29/0.55</f>
        <v>23.410909090909087</v>
      </c>
      <c r="P31" t="s">
        <v>201</v>
      </c>
      <c r="T31" s="36">
        <f>FLOOR((U31/V31),0.01)</f>
        <v>11000</v>
      </c>
      <c r="U31" s="46">
        <f>Y23*1000</f>
        <v>2200</v>
      </c>
      <c r="V31" s="48">
        <f>U23</f>
        <v>0.2</v>
      </c>
      <c r="W31" s="10"/>
      <c r="Y31" s="39"/>
    </row>
    <row r="32" spans="1:25" ht="13.5" thickBot="1" x14ac:dyDescent="0.25">
      <c r="A32" s="1"/>
      <c r="B32" s="2"/>
      <c r="C32" s="3"/>
      <c r="D32" s="58"/>
      <c r="E32" s="59"/>
      <c r="F32" s="60"/>
      <c r="G32" s="2">
        <f t="shared" si="4"/>
        <v>0</v>
      </c>
      <c r="H32" s="2">
        <f t="shared" si="5"/>
        <v>0</v>
      </c>
      <c r="I32" s="2">
        <f t="shared" si="6"/>
        <v>0</v>
      </c>
      <c r="J32" s="30"/>
      <c r="K32" s="1"/>
      <c r="L32" s="1"/>
      <c r="N32" s="259" t="s">
        <v>207</v>
      </c>
      <c r="T32" s="34" t="s">
        <v>213</v>
      </c>
      <c r="U32" s="51" t="s">
        <v>214</v>
      </c>
      <c r="V32" s="10" t="s">
        <v>191</v>
      </c>
      <c r="W32" s="10" t="s">
        <v>215</v>
      </c>
      <c r="Y32" s="39"/>
    </row>
    <row r="33" spans="3:27" ht="13.5" thickBot="1" x14ac:dyDescent="0.25">
      <c r="K33" s="258" t="s">
        <v>210</v>
      </c>
      <c r="N33" s="259"/>
      <c r="T33" s="36">
        <f>FLOOR((U33*V33),0.01)</f>
        <v>48</v>
      </c>
      <c r="U33" s="46">
        <f>W23</f>
        <v>240</v>
      </c>
      <c r="V33" s="52">
        <f>U23</f>
        <v>0.2</v>
      </c>
      <c r="W33" s="10"/>
      <c r="Y33" s="39"/>
    </row>
    <row r="34" spans="3:27" ht="13.5" thickBot="1" x14ac:dyDescent="0.25">
      <c r="C34" s="4"/>
      <c r="D34" s="260">
        <f>MAX(G34:I34)</f>
        <v>53.65</v>
      </c>
      <c r="E34" s="261"/>
      <c r="F34" s="262"/>
      <c r="G34" s="50">
        <f>SUM(G20:G32)</f>
        <v>52</v>
      </c>
      <c r="H34" s="50">
        <f>SUM(H20:H32)</f>
        <v>53.65</v>
      </c>
      <c r="I34" s="50">
        <f>SUM(I20:I32)</f>
        <v>51.62</v>
      </c>
      <c r="K34" s="259"/>
      <c r="L34" s="8">
        <f>SUM(L20:L32)</f>
        <v>34.800000000000004</v>
      </c>
      <c r="N34" s="259"/>
      <c r="O34" s="8">
        <f>O31/0.8</f>
        <v>29.263636363636358</v>
      </c>
      <c r="P34" t="s">
        <v>264</v>
      </c>
      <c r="T34" s="34" t="s">
        <v>216</v>
      </c>
      <c r="U34" s="10" t="s">
        <v>186</v>
      </c>
      <c r="V34" s="10" t="s">
        <v>203</v>
      </c>
      <c r="W34" s="10" t="s">
        <v>217</v>
      </c>
      <c r="X34" s="263" t="s">
        <v>218</v>
      </c>
      <c r="Y34" s="263"/>
    </row>
    <row r="35" spans="3:27" ht="13.5" thickBot="1" x14ac:dyDescent="0.25">
      <c r="E35" t="s">
        <v>252</v>
      </c>
      <c r="K35" s="259"/>
      <c r="N35" s="259"/>
      <c r="T35" s="46">
        <v>1</v>
      </c>
      <c r="U35" s="47">
        <f>Y23*1000</f>
        <v>2200</v>
      </c>
      <c r="V35" s="47">
        <f>W23</f>
        <v>240</v>
      </c>
      <c r="W35" s="48">
        <f>U23</f>
        <v>0.2</v>
      </c>
      <c r="X35" s="54"/>
      <c r="Y35" s="41"/>
    </row>
    <row r="36" spans="3:27" ht="13.5" thickBot="1" x14ac:dyDescent="0.25">
      <c r="C36" s="4" t="s">
        <v>86</v>
      </c>
      <c r="D36" s="260" t="str">
        <f>D16+D34&amp;"A"</f>
        <v>123.61A</v>
      </c>
      <c r="E36" s="261"/>
      <c r="F36" s="262"/>
      <c r="N36" t="s">
        <v>212</v>
      </c>
    </row>
    <row r="37" spans="3:27" ht="13.5" thickBot="1" x14ac:dyDescent="0.25">
      <c r="K37">
        <v>100</v>
      </c>
      <c r="L37">
        <f>K37*0.57436</f>
        <v>57.436</v>
      </c>
      <c r="O37" s="18">
        <f>O34/0.57436</f>
        <v>50.949990186705826</v>
      </c>
      <c r="S37" s="10"/>
      <c r="T37" s="31" t="s">
        <v>249</v>
      </c>
      <c r="U37" s="43"/>
      <c r="V37" s="43"/>
      <c r="W37" s="32"/>
      <c r="X37" s="32"/>
      <c r="Y37" s="32"/>
      <c r="Z37" s="32"/>
      <c r="AA37" s="33"/>
    </row>
    <row r="38" spans="3:27" ht="13.5" thickBot="1" x14ac:dyDescent="0.25">
      <c r="S38" s="10"/>
      <c r="T38" s="55" t="s">
        <v>196</v>
      </c>
      <c r="U38" s="10"/>
      <c r="V38" s="10"/>
      <c r="AA38" s="39"/>
    </row>
    <row r="39" spans="3:27" ht="14.25" thickTop="1" thickBot="1" x14ac:dyDescent="0.25">
      <c r="L39" s="53" t="str">
        <f>L34+L16&amp;"kW"</f>
        <v>73.83kW</v>
      </c>
      <c r="M39" t="s">
        <v>219</v>
      </c>
      <c r="O39">
        <f>(L34+L16)/0.57436</f>
        <v>128.54307403022497</v>
      </c>
      <c r="R39" s="10"/>
      <c r="S39" s="10"/>
      <c r="T39" s="34" t="s">
        <v>197</v>
      </c>
      <c r="U39" s="44">
        <v>3.82</v>
      </c>
      <c r="V39" s="10" t="s">
        <v>198</v>
      </c>
      <c r="W39" s="44">
        <v>400</v>
      </c>
      <c r="X39" s="10" t="s">
        <v>264</v>
      </c>
      <c r="Y39" s="44">
        <v>4</v>
      </c>
      <c r="AA39" s="39"/>
    </row>
    <row r="40" spans="3:27" ht="14.25" thickTop="1" thickBot="1" x14ac:dyDescent="0.25">
      <c r="D40" s="4" t="s">
        <v>632</v>
      </c>
      <c r="E40">
        <f>CEILING(O34+L16,1)</f>
        <v>69</v>
      </c>
      <c r="F40" t="s">
        <v>629</v>
      </c>
      <c r="H40">
        <f>(SQRT(3))*400</f>
        <v>692.8203230275509</v>
      </c>
      <c r="L40" s="10"/>
      <c r="M40" s="10"/>
      <c r="N40" s="10"/>
      <c r="R40" s="10"/>
      <c r="S40" s="10"/>
      <c r="T40" s="34"/>
      <c r="U40" s="28" t="s">
        <v>199</v>
      </c>
      <c r="V40" s="10"/>
      <c r="AA40" s="39"/>
    </row>
    <row r="41" spans="3:27" ht="14.25" thickTop="1" thickBot="1" x14ac:dyDescent="0.25">
      <c r="D41" s="4" t="s">
        <v>633</v>
      </c>
      <c r="E41">
        <f>E40/0.8</f>
        <v>86.25</v>
      </c>
      <c r="F41" t="s">
        <v>201</v>
      </c>
      <c r="L41" s="53" t="str">
        <f>CEILING(O34+L16,0.01)&amp;"kW"</f>
        <v>68.3kW</v>
      </c>
      <c r="M41" t="s">
        <v>220</v>
      </c>
      <c r="N41" s="10"/>
      <c r="O41">
        <f>(O34+L16)/0.57436</f>
        <v>118.9038866976049</v>
      </c>
      <c r="P41" s="10"/>
      <c r="Q41" s="10"/>
      <c r="R41" s="10"/>
      <c r="S41" s="10"/>
      <c r="T41" s="45"/>
      <c r="AA41" s="39"/>
    </row>
    <row r="42" spans="3:27" ht="14.25" thickTop="1" thickBot="1" x14ac:dyDescent="0.25">
      <c r="D42" s="4" t="s">
        <v>634</v>
      </c>
      <c r="E42">
        <f>(1000*E41)/(1.73205080756888*400)</f>
        <v>124.49115179401285</v>
      </c>
      <c r="F42" t="s">
        <v>630</v>
      </c>
      <c r="L42" s="10"/>
      <c r="M42" s="10"/>
      <c r="N42" s="10"/>
      <c r="O42" s="10"/>
      <c r="P42" s="10"/>
      <c r="Q42" s="10"/>
      <c r="R42" s="10"/>
      <c r="S42" s="10"/>
      <c r="T42" s="34" t="s">
        <v>185</v>
      </c>
      <c r="U42" s="10" t="s">
        <v>186</v>
      </c>
      <c r="V42" s="10" t="s">
        <v>203</v>
      </c>
      <c r="W42" s="10" t="s">
        <v>250</v>
      </c>
      <c r="X42" s="10" t="s">
        <v>204</v>
      </c>
      <c r="Y42" s="256" t="s">
        <v>251</v>
      </c>
      <c r="Z42" s="256"/>
      <c r="AA42" s="39"/>
    </row>
    <row r="43" spans="3:27" ht="13.5" thickBot="1" x14ac:dyDescent="0.25">
      <c r="D43" s="4" t="s">
        <v>635</v>
      </c>
      <c r="E43">
        <f>(1000*E41)/(1.73205080756888*480)</f>
        <v>103.74262649501071</v>
      </c>
      <c r="F43" t="s">
        <v>631</v>
      </c>
      <c r="L43" s="10"/>
      <c r="M43" s="10"/>
      <c r="N43" s="10"/>
      <c r="O43" s="10"/>
      <c r="P43" s="10"/>
      <c r="Q43" s="10"/>
      <c r="R43" s="10"/>
      <c r="S43" s="10"/>
      <c r="T43" s="46">
        <f>FLOOR((U43/(V43*W43*X43)),0.01)</f>
        <v>7.21</v>
      </c>
      <c r="U43" s="47">
        <f>Y39*1000</f>
        <v>4000</v>
      </c>
      <c r="V43" s="47">
        <f>W39</f>
        <v>400</v>
      </c>
      <c r="W43" s="47">
        <v>1.732</v>
      </c>
      <c r="X43" s="48">
        <v>0.8</v>
      </c>
      <c r="AA43" s="39"/>
    </row>
    <row r="44" spans="3:27" ht="13.5" thickBot="1" x14ac:dyDescent="0.25">
      <c r="L44" s="10"/>
      <c r="M44" s="10"/>
      <c r="N44" s="10"/>
      <c r="O44" s="10"/>
      <c r="P44" s="10"/>
      <c r="Q44" s="10"/>
      <c r="R44" s="10"/>
      <c r="S44" s="10"/>
      <c r="T44" s="34" t="s">
        <v>189</v>
      </c>
      <c r="U44" s="10" t="s">
        <v>190</v>
      </c>
      <c r="V44" s="10" t="s">
        <v>191</v>
      </c>
      <c r="W44" s="10" t="s">
        <v>208</v>
      </c>
      <c r="X44" s="10" t="s">
        <v>250</v>
      </c>
      <c r="Y44" s="256" t="s">
        <v>209</v>
      </c>
      <c r="Z44" s="256"/>
      <c r="AA44" s="39"/>
    </row>
    <row r="45" spans="3:27" ht="13.5" thickBot="1" x14ac:dyDescent="0.25">
      <c r="L45" s="10"/>
      <c r="M45" s="10"/>
      <c r="N45" s="10"/>
      <c r="O45" s="10"/>
      <c r="P45" s="10"/>
      <c r="Q45" s="10"/>
      <c r="R45" s="10"/>
      <c r="S45" s="10"/>
      <c r="T45" s="46">
        <f>FLOOR(U45*(V45*W45*X45),0.01)</f>
        <v>2117.19</v>
      </c>
      <c r="U45" s="47">
        <f>W39</f>
        <v>400</v>
      </c>
      <c r="V45" s="47">
        <f>U39</f>
        <v>3.82</v>
      </c>
      <c r="W45" s="47">
        <v>0.8</v>
      </c>
      <c r="X45" s="48">
        <v>1.732</v>
      </c>
      <c r="Y45" s="10"/>
      <c r="Z45" s="10"/>
      <c r="AA45" s="39"/>
    </row>
    <row r="46" spans="3:27" ht="13.5" thickBot="1" x14ac:dyDescent="0.25">
      <c r="L46" s="10"/>
      <c r="M46" s="10"/>
      <c r="N46" s="10"/>
      <c r="O46" s="10"/>
      <c r="P46" s="10"/>
      <c r="Q46" s="10"/>
      <c r="R46" s="10"/>
      <c r="S46" s="10"/>
      <c r="T46" s="34" t="s">
        <v>193</v>
      </c>
      <c r="U46" s="10" t="s">
        <v>186</v>
      </c>
      <c r="V46" s="10" t="s">
        <v>194</v>
      </c>
      <c r="W46" t="s">
        <v>211</v>
      </c>
      <c r="AA46" s="39"/>
    </row>
    <row r="47" spans="3:27" ht="13.5" thickBot="1" x14ac:dyDescent="0.25">
      <c r="L47" s="10"/>
      <c r="M47" s="10"/>
      <c r="N47" s="10"/>
      <c r="O47" s="10"/>
      <c r="P47" s="10"/>
      <c r="Q47" s="10"/>
      <c r="R47" s="10"/>
      <c r="S47" s="10"/>
      <c r="T47" s="46">
        <f>FLOOR((U47/V47),0.01)</f>
        <v>1047.1200000000001</v>
      </c>
      <c r="U47" s="47">
        <f>Y39*1000</f>
        <v>4000</v>
      </c>
      <c r="V47" s="48">
        <f>U39</f>
        <v>3.82</v>
      </c>
      <c r="W47" s="10"/>
      <c r="AA47" s="39"/>
    </row>
    <row r="48" spans="3:27" ht="13.5" thickBot="1" x14ac:dyDescent="0.25">
      <c r="L48" s="10"/>
      <c r="M48" s="10"/>
      <c r="N48" s="10"/>
      <c r="O48" s="10"/>
      <c r="P48" s="10"/>
      <c r="Q48" s="10"/>
      <c r="R48" s="10"/>
      <c r="S48" s="10"/>
      <c r="T48" s="34" t="s">
        <v>213</v>
      </c>
      <c r="U48" s="51" t="s">
        <v>214</v>
      </c>
      <c r="V48" s="10" t="s">
        <v>191</v>
      </c>
      <c r="W48" s="10" t="s">
        <v>250</v>
      </c>
      <c r="X48" s="256" t="s">
        <v>253</v>
      </c>
      <c r="Y48" s="256"/>
      <c r="AA48" s="39"/>
    </row>
    <row r="49" spans="12:27" ht="13.5" thickBot="1" x14ac:dyDescent="0.25">
      <c r="L49" s="10"/>
      <c r="M49" s="10"/>
      <c r="N49" s="10"/>
      <c r="O49" s="10"/>
      <c r="P49" s="10"/>
      <c r="Q49" s="10"/>
      <c r="R49" s="10"/>
      <c r="S49" s="10"/>
      <c r="T49" s="46">
        <f>FLOOR((U49*V49*W49),0.01)</f>
        <v>2646.4900000000002</v>
      </c>
      <c r="U49" s="47">
        <f>W39</f>
        <v>400</v>
      </c>
      <c r="V49" s="47">
        <f>U39</f>
        <v>3.82</v>
      </c>
      <c r="W49" s="48">
        <v>1.732</v>
      </c>
      <c r="AA49" s="39"/>
    </row>
    <row r="50" spans="12:27" ht="13.5" thickBot="1" x14ac:dyDescent="0.25">
      <c r="L50" s="10"/>
      <c r="M50" s="10"/>
      <c r="N50" s="10"/>
      <c r="O50" s="10"/>
      <c r="P50" s="10"/>
      <c r="Q50" s="10"/>
      <c r="R50" s="10"/>
      <c r="S50" s="10"/>
      <c r="T50" s="34" t="s">
        <v>216</v>
      </c>
      <c r="U50" s="10" t="s">
        <v>254</v>
      </c>
      <c r="V50" s="10" t="s">
        <v>203</v>
      </c>
      <c r="W50" s="10" t="s">
        <v>191</v>
      </c>
      <c r="X50" s="10" t="s">
        <v>255</v>
      </c>
      <c r="Y50" s="256" t="s">
        <v>256</v>
      </c>
      <c r="Z50" s="256"/>
      <c r="AA50" s="39"/>
    </row>
    <row r="51" spans="12:27" ht="13.5" thickBot="1" x14ac:dyDescent="0.25">
      <c r="L51" s="10"/>
      <c r="M51" s="10"/>
      <c r="N51" s="10"/>
      <c r="O51" s="10"/>
      <c r="P51" s="10"/>
      <c r="Q51" s="10"/>
      <c r="R51" s="10"/>
      <c r="S51" s="10"/>
      <c r="T51" s="46">
        <f>FLOOR((U51)/(V51*W51*X51),0.01)</f>
        <v>0.8</v>
      </c>
      <c r="U51" s="47">
        <f>Y39*1000</f>
        <v>4000</v>
      </c>
      <c r="V51" s="47">
        <f>W39</f>
        <v>400</v>
      </c>
      <c r="W51" s="47">
        <v>7.21</v>
      </c>
      <c r="X51" s="48">
        <v>1.732</v>
      </c>
      <c r="Y51" s="56"/>
      <c r="Z51" s="56"/>
      <c r="AA51" s="41"/>
    </row>
    <row r="52" spans="12:27" ht="13.5" thickBot="1" x14ac:dyDescent="0.25">
      <c r="L52" s="10"/>
      <c r="M52" s="10"/>
      <c r="N52" s="10"/>
      <c r="O52" s="10"/>
      <c r="P52" s="10"/>
      <c r="Q52" s="10"/>
      <c r="R52" s="10"/>
      <c r="S52" s="10"/>
    </row>
    <row r="53" spans="12:27" x14ac:dyDescent="0.2">
      <c r="L53" s="10"/>
      <c r="M53" s="10"/>
      <c r="N53" s="10"/>
      <c r="O53" s="10"/>
      <c r="P53" s="10"/>
      <c r="Q53" s="10"/>
      <c r="R53" s="10"/>
      <c r="S53" s="10"/>
      <c r="T53" s="57" t="s">
        <v>257</v>
      </c>
      <c r="U53" s="32"/>
      <c r="V53" s="32"/>
      <c r="W53" s="32"/>
      <c r="X53" s="33"/>
    </row>
    <row r="54" spans="12:27" ht="13.5" thickBot="1" x14ac:dyDescent="0.25">
      <c r="L54" s="10"/>
      <c r="M54" s="10"/>
      <c r="N54" s="10"/>
      <c r="O54" s="10"/>
      <c r="P54" s="10"/>
      <c r="Q54" s="10"/>
      <c r="R54" s="10"/>
      <c r="S54" s="10"/>
      <c r="T54" s="45"/>
      <c r="X54" s="39"/>
    </row>
    <row r="55" spans="12:27" ht="13.5" thickBot="1" x14ac:dyDescent="0.25">
      <c r="L55" s="10"/>
      <c r="M55" s="10"/>
      <c r="N55" s="10"/>
      <c r="O55" s="10"/>
      <c r="P55" s="10"/>
      <c r="Q55" s="10"/>
      <c r="R55" s="10"/>
      <c r="S55" s="10"/>
      <c r="T55" s="34" t="s">
        <v>206</v>
      </c>
      <c r="U55" s="44"/>
      <c r="V55" s="10" t="s">
        <v>200</v>
      </c>
      <c r="W55" s="44"/>
      <c r="X55" s="39"/>
    </row>
    <row r="56" spans="12:27" x14ac:dyDescent="0.2">
      <c r="L56" s="10"/>
      <c r="M56" s="10"/>
      <c r="N56" s="10"/>
      <c r="O56" s="10"/>
      <c r="P56" s="10"/>
      <c r="Q56" s="10"/>
      <c r="R56" s="10"/>
      <c r="S56" s="10"/>
      <c r="T56" s="34"/>
      <c r="U56" s="10"/>
      <c r="V56" s="10"/>
      <c r="W56" s="10"/>
      <c r="X56" s="39"/>
    </row>
    <row r="57" spans="12:27" x14ac:dyDescent="0.2">
      <c r="L57" s="10"/>
      <c r="M57" s="10"/>
      <c r="N57" s="10"/>
      <c r="O57" s="10"/>
      <c r="P57" s="10"/>
      <c r="Q57" s="10"/>
      <c r="R57" s="10"/>
      <c r="T57" s="45"/>
      <c r="X57" s="39"/>
    </row>
    <row r="58" spans="12:27" ht="13.5" thickBot="1" x14ac:dyDescent="0.25">
      <c r="L58" s="10"/>
      <c r="M58" s="10"/>
      <c r="N58" s="10"/>
      <c r="O58" s="10"/>
      <c r="P58" s="10"/>
      <c r="Q58" s="10"/>
      <c r="R58" s="10"/>
      <c r="T58" s="45" t="s">
        <v>258</v>
      </c>
      <c r="W58" t="s">
        <v>259</v>
      </c>
      <c r="X58" s="39"/>
    </row>
    <row r="59" spans="12:27" ht="13.5" thickBot="1" x14ac:dyDescent="0.25">
      <c r="L59" s="10"/>
      <c r="M59" s="10"/>
      <c r="N59" s="10"/>
      <c r="O59" s="10"/>
      <c r="P59" s="10"/>
      <c r="Q59" s="10"/>
      <c r="R59" s="10"/>
      <c r="T59" s="46">
        <f>FLOOR((U59/V59),0.01)</f>
        <v>0</v>
      </c>
      <c r="U59" s="47"/>
      <c r="V59" s="48">
        <v>0.55000000000000004</v>
      </c>
      <c r="X59" s="39"/>
    </row>
    <row r="60" spans="12:27" ht="13.5" thickBot="1" x14ac:dyDescent="0.25">
      <c r="L60" s="10"/>
      <c r="M60" s="10"/>
      <c r="N60" s="10"/>
      <c r="O60" s="10"/>
      <c r="P60" s="10"/>
      <c r="Q60" s="10"/>
      <c r="R60" s="10"/>
      <c r="T60" s="45" t="s">
        <v>260</v>
      </c>
      <c r="W60" t="s">
        <v>261</v>
      </c>
      <c r="X60" s="39"/>
    </row>
    <row r="61" spans="12:27" ht="13.5" thickBot="1" x14ac:dyDescent="0.25">
      <c r="L61" s="10"/>
      <c r="M61" s="10"/>
      <c r="N61" s="10"/>
      <c r="O61" s="10"/>
      <c r="P61" s="10"/>
      <c r="Q61" s="10"/>
      <c r="R61" s="10"/>
      <c r="T61" s="46">
        <f>FLOOR((U61*V61),0.01)</f>
        <v>0</v>
      </c>
      <c r="U61" s="47"/>
      <c r="V61" s="48">
        <v>0.55000000000000004</v>
      </c>
      <c r="W61" s="56"/>
      <c r="X61" s="41"/>
    </row>
    <row r="62" spans="12:27" x14ac:dyDescent="0.2">
      <c r="L62" s="10"/>
      <c r="M62" s="10"/>
      <c r="N62" s="10"/>
      <c r="O62" s="10"/>
      <c r="P62" s="10"/>
      <c r="Q62" s="10"/>
      <c r="R62" s="10"/>
    </row>
    <row r="63" spans="12:27" x14ac:dyDescent="0.2">
      <c r="L63" s="10"/>
      <c r="M63" s="10"/>
      <c r="N63" s="10"/>
      <c r="O63" s="10"/>
      <c r="P63" s="10"/>
      <c r="Q63" s="10"/>
      <c r="R63" s="10"/>
    </row>
    <row r="64" spans="12:27" x14ac:dyDescent="0.2">
      <c r="L64" s="10"/>
      <c r="M64" s="10"/>
      <c r="N64" s="10"/>
      <c r="O64" s="10"/>
      <c r="P64" s="10"/>
      <c r="Q64" s="10"/>
      <c r="R64" s="10"/>
    </row>
    <row r="65" spans="12:18" x14ac:dyDescent="0.2">
      <c r="L65" s="10"/>
      <c r="M65" s="10"/>
      <c r="N65" s="10"/>
      <c r="O65" s="10"/>
      <c r="P65" s="10"/>
      <c r="Q65" s="10"/>
      <c r="R65" s="10"/>
    </row>
    <row r="66" spans="12:18" x14ac:dyDescent="0.2">
      <c r="L66" s="10"/>
      <c r="M66" s="10"/>
      <c r="N66" s="10"/>
      <c r="O66" s="10"/>
      <c r="P66" s="10"/>
      <c r="Q66" s="10"/>
      <c r="R66" s="10"/>
    </row>
    <row r="67" spans="12:18" x14ac:dyDescent="0.2">
      <c r="L67" s="10"/>
      <c r="M67" s="10"/>
      <c r="N67" s="10"/>
      <c r="O67" s="10"/>
      <c r="P67" s="10"/>
      <c r="Q67" s="10"/>
      <c r="R67" s="10"/>
    </row>
    <row r="68" spans="12:18" x14ac:dyDescent="0.2">
      <c r="L68" s="10"/>
      <c r="N68" s="10"/>
      <c r="O68" s="10"/>
      <c r="P68" s="10"/>
      <c r="Q68" s="10"/>
      <c r="R68" s="10"/>
    </row>
    <row r="69" spans="12:18" x14ac:dyDescent="0.2">
      <c r="L69" s="10"/>
      <c r="N69" s="10"/>
      <c r="O69" s="10"/>
      <c r="P69" s="10"/>
      <c r="Q69" s="10"/>
    </row>
    <row r="70" spans="12:18" x14ac:dyDescent="0.2">
      <c r="L70" s="10"/>
      <c r="N70" s="10"/>
      <c r="O70" s="10"/>
      <c r="P70" s="10"/>
      <c r="Q70" s="10"/>
    </row>
    <row r="71" spans="12:18" x14ac:dyDescent="0.2">
      <c r="L71" s="10"/>
      <c r="M71" s="10"/>
      <c r="N71" s="10"/>
    </row>
    <row r="72" spans="12:18" x14ac:dyDescent="0.2">
      <c r="L72" s="10"/>
      <c r="M72" s="10"/>
      <c r="N72" s="10"/>
    </row>
    <row r="73" spans="12:18" x14ac:dyDescent="0.2">
      <c r="L73" s="10"/>
      <c r="M73" s="10"/>
      <c r="N73" s="10"/>
    </row>
    <row r="74" spans="12:18" x14ac:dyDescent="0.2">
      <c r="L74" s="10"/>
      <c r="M74" s="10"/>
      <c r="N74" s="10"/>
    </row>
    <row r="75" spans="12:18" x14ac:dyDescent="0.2">
      <c r="M75" s="10"/>
      <c r="N75" s="10"/>
    </row>
    <row r="76" spans="12:18" x14ac:dyDescent="0.2">
      <c r="N76" s="10"/>
    </row>
  </sheetData>
  <mergeCells count="24">
    <mergeCell ref="D36:F36"/>
    <mergeCell ref="Y42:Z42"/>
    <mergeCell ref="Y44:Z44"/>
    <mergeCell ref="X48:Y48"/>
    <mergeCell ref="Y50:Z50"/>
    <mergeCell ref="K15:K17"/>
    <mergeCell ref="D16:F16"/>
    <mergeCell ref="X26:Y26"/>
    <mergeCell ref="X28:Y28"/>
    <mergeCell ref="N32:N35"/>
    <mergeCell ref="K33:K35"/>
    <mergeCell ref="D34:F34"/>
    <mergeCell ref="X34:Y34"/>
    <mergeCell ref="D10:F10"/>
    <mergeCell ref="D11:F11"/>
    <mergeCell ref="D12:F12"/>
    <mergeCell ref="D13:F13"/>
    <mergeCell ref="D14:F14"/>
    <mergeCell ref="D9:F9"/>
    <mergeCell ref="N4:O4"/>
    <mergeCell ref="D5:F5"/>
    <mergeCell ref="D6:F6"/>
    <mergeCell ref="D7:F7"/>
    <mergeCell ref="D8:F8"/>
  </mergeCells>
  <pageMargins left="0.75" right="0.75" top="1" bottom="1" header="0.5" footer="0.5"/>
  <pageSetup paperSize="9" scale="10" orientation="portrait" horizontalDpi="4294967293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/>
    <pageSetUpPr fitToPage="1"/>
  </sheetPr>
  <dimension ref="A1:P123"/>
  <sheetViews>
    <sheetView topLeftCell="A7" zoomScaleNormal="100" workbookViewId="0">
      <selection activeCell="Q41" sqref="Q41"/>
    </sheetView>
  </sheetViews>
  <sheetFormatPr defaultColWidth="8.85546875" defaultRowHeight="14.45" customHeight="1" x14ac:dyDescent="0.2"/>
  <cols>
    <col min="1" max="1" width="33" customWidth="1"/>
    <col min="2" max="2" width="4" customWidth="1"/>
    <col min="3" max="3" width="30.5703125" customWidth="1"/>
    <col min="4" max="4" width="5.140625" customWidth="1"/>
    <col min="5" max="5" width="30.5703125" customWidth="1"/>
    <col min="6" max="6" width="5.140625" customWidth="1"/>
    <col min="7" max="7" width="30.5703125" customWidth="1"/>
    <col min="8" max="8" width="9.5703125" customWidth="1"/>
    <col min="9" max="9" width="12.7109375" customWidth="1"/>
    <col min="10" max="12" width="6.85546875" customWidth="1"/>
    <col min="13" max="13" width="12.7109375" customWidth="1"/>
    <col min="14" max="14" width="13.85546875" bestFit="1" customWidth="1"/>
    <col min="15" max="18" width="12.7109375" customWidth="1"/>
    <col min="19" max="19" width="12.7109375" bestFit="1" customWidth="1"/>
    <col min="20" max="20" width="2.5703125" customWidth="1"/>
    <col min="21" max="21" width="12.7109375" bestFit="1" customWidth="1"/>
    <col min="22" max="22" width="2.5703125" customWidth="1"/>
    <col min="23" max="23" width="12.7109375" bestFit="1" customWidth="1"/>
    <col min="24" max="24" width="3.5703125" customWidth="1"/>
    <col min="25" max="26" width="12.7109375" bestFit="1" customWidth="1"/>
    <col min="27" max="27" width="3.5703125" customWidth="1"/>
    <col min="28" max="32" width="12.7109375" bestFit="1" customWidth="1"/>
    <col min="33" max="33" width="3.5703125" customWidth="1"/>
    <col min="34" max="36" width="12.7109375" bestFit="1" customWidth="1"/>
    <col min="37" max="37" width="3.5703125" customWidth="1"/>
    <col min="38" max="46" width="12.7109375" bestFit="1" customWidth="1"/>
    <col min="47" max="47" width="3.5703125" customWidth="1"/>
    <col min="48" max="49" width="12.7109375" bestFit="1" customWidth="1"/>
    <col min="50" max="50" width="3.5703125" customWidth="1"/>
    <col min="51" max="57" width="12.7109375" bestFit="1" customWidth="1"/>
    <col min="58" max="58" width="3.5703125" customWidth="1"/>
    <col min="59" max="61" width="12.7109375" bestFit="1" customWidth="1"/>
    <col min="62" max="62" width="3.5703125" customWidth="1"/>
    <col min="63" max="68" width="12.7109375" bestFit="1" customWidth="1"/>
    <col min="69" max="69" width="3.5703125" customWidth="1"/>
    <col min="70" max="75" width="12.7109375" bestFit="1" customWidth="1"/>
    <col min="76" max="76" width="3.5703125" customWidth="1"/>
    <col min="77" max="79" width="12.7109375" bestFit="1" customWidth="1"/>
    <col min="80" max="80" width="3.5703125" customWidth="1"/>
    <col min="81" max="83" width="12.7109375" bestFit="1" customWidth="1"/>
    <col min="84" max="84" width="3.5703125" customWidth="1"/>
    <col min="85" max="86" width="12.7109375" bestFit="1" customWidth="1"/>
  </cols>
  <sheetData>
    <row r="1" spans="1:13" ht="14.45" customHeight="1" x14ac:dyDescent="0.25">
      <c r="A1" s="186" t="s">
        <v>1067</v>
      </c>
      <c r="B1" s="186" t="s">
        <v>1068</v>
      </c>
      <c r="C1" s="118" t="s">
        <v>1069</v>
      </c>
      <c r="D1" s="88"/>
      <c r="E1" s="88"/>
      <c r="F1" s="88"/>
      <c r="G1" s="88"/>
      <c r="H1" s="88"/>
      <c r="I1" s="88"/>
      <c r="J1" s="205">
        <v>4</v>
      </c>
      <c r="K1" s="205"/>
      <c r="L1" s="205"/>
    </row>
    <row r="2" spans="1:13" ht="14.45" customHeight="1" x14ac:dyDescent="0.2">
      <c r="A2" s="88"/>
      <c r="B2" s="88"/>
      <c r="C2" s="88" t="s">
        <v>971</v>
      </c>
      <c r="D2" s="88" t="s">
        <v>289</v>
      </c>
      <c r="E2" s="88" t="s">
        <v>972</v>
      </c>
      <c r="F2" s="88" t="s">
        <v>289</v>
      </c>
      <c r="G2" s="88"/>
      <c r="H2" s="88" t="s">
        <v>968</v>
      </c>
      <c r="I2" s="88" t="s">
        <v>969</v>
      </c>
      <c r="J2" s="88" t="s">
        <v>970</v>
      </c>
      <c r="K2" s="88" t="s">
        <v>970</v>
      </c>
      <c r="L2" s="88" t="s">
        <v>970</v>
      </c>
    </row>
    <row r="3" spans="1:13" ht="14.45" customHeight="1" x14ac:dyDescent="0.25">
      <c r="A3" s="186" t="s">
        <v>1070</v>
      </c>
      <c r="B3" s="186"/>
      <c r="C3" s="194" t="s">
        <v>28</v>
      </c>
      <c r="D3" s="195" t="s">
        <v>290</v>
      </c>
      <c r="E3" s="195" t="s">
        <v>32</v>
      </c>
      <c r="F3" s="195" t="s">
        <v>290</v>
      </c>
      <c r="G3" s="195"/>
      <c r="H3" s="195">
        <v>0</v>
      </c>
      <c r="I3" s="193" t="s">
        <v>78</v>
      </c>
      <c r="J3" s="193"/>
      <c r="K3" s="193"/>
      <c r="L3" s="193"/>
    </row>
    <row r="4" spans="1:13" ht="14.45" customHeight="1" x14ac:dyDescent="0.25">
      <c r="A4" s="186" t="s">
        <v>1071</v>
      </c>
      <c r="B4" s="186"/>
      <c r="C4" s="195" t="s">
        <v>32</v>
      </c>
      <c r="D4" s="195" t="s">
        <v>290</v>
      </c>
      <c r="E4" s="195" t="s">
        <v>374</v>
      </c>
      <c r="F4" s="195" t="s">
        <v>290</v>
      </c>
      <c r="G4" s="195"/>
      <c r="H4" s="196">
        <v>1</v>
      </c>
      <c r="I4" s="193" t="s">
        <v>294</v>
      </c>
      <c r="J4" s="195" t="s">
        <v>230</v>
      </c>
      <c r="K4" s="193"/>
      <c r="L4" s="193"/>
    </row>
    <row r="5" spans="1:13" ht="14.45" customHeight="1" x14ac:dyDescent="0.25">
      <c r="A5" s="186" t="s">
        <v>1072</v>
      </c>
      <c r="B5" s="186"/>
      <c r="C5" s="195" t="s">
        <v>374</v>
      </c>
      <c r="D5" s="195" t="s">
        <v>290</v>
      </c>
      <c r="E5" s="195" t="s">
        <v>0</v>
      </c>
      <c r="F5" s="195" t="s">
        <v>290</v>
      </c>
      <c r="G5" s="195"/>
      <c r="H5" s="195">
        <v>2</v>
      </c>
      <c r="I5" s="193" t="s">
        <v>294</v>
      </c>
      <c r="J5" s="195" t="s">
        <v>230</v>
      </c>
      <c r="K5" s="193"/>
      <c r="L5" s="193"/>
    </row>
    <row r="6" spans="1:13" ht="14.45" customHeight="1" x14ac:dyDescent="0.25">
      <c r="A6" s="186" t="s">
        <v>1073</v>
      </c>
      <c r="B6" s="186"/>
      <c r="C6" s="195" t="s">
        <v>0</v>
      </c>
      <c r="D6" s="195" t="s">
        <v>290</v>
      </c>
      <c r="E6" s="195" t="s">
        <v>1161</v>
      </c>
      <c r="F6" s="195" t="s">
        <v>290</v>
      </c>
      <c r="G6" s="195"/>
      <c r="H6" s="197"/>
      <c r="I6" s="193" t="s">
        <v>1162</v>
      </c>
      <c r="J6" s="193"/>
      <c r="K6" s="193"/>
      <c r="L6" s="193"/>
    </row>
    <row r="7" spans="1:13" ht="14.45" customHeight="1" x14ac:dyDescent="0.25">
      <c r="A7" s="186" t="s">
        <v>1074</v>
      </c>
      <c r="B7" s="186"/>
      <c r="C7" s="195" t="s">
        <v>1161</v>
      </c>
      <c r="D7" s="195" t="s">
        <v>290</v>
      </c>
      <c r="E7" s="195" t="s">
        <v>966</v>
      </c>
      <c r="F7" s="195" t="s">
        <v>68</v>
      </c>
      <c r="G7" s="195"/>
      <c r="H7" s="197"/>
      <c r="I7" s="193" t="s">
        <v>296</v>
      </c>
      <c r="J7" s="193"/>
      <c r="K7" s="193"/>
      <c r="L7" s="193"/>
      <c r="M7" t="s">
        <v>1169</v>
      </c>
    </row>
    <row r="8" spans="1:13" ht="14.45" customHeight="1" x14ac:dyDescent="0.25">
      <c r="A8" s="186" t="s">
        <v>1429</v>
      </c>
      <c r="B8" s="186" t="s">
        <v>1068</v>
      </c>
      <c r="C8" s="118" t="s">
        <v>1165</v>
      </c>
      <c r="D8" s="88"/>
      <c r="E8" s="88"/>
      <c r="F8" s="88"/>
      <c r="G8" s="88"/>
      <c r="H8" s="88"/>
      <c r="I8" s="88"/>
      <c r="J8" s="205" t="s">
        <v>73</v>
      </c>
      <c r="K8" s="205"/>
      <c r="L8" s="205"/>
    </row>
    <row r="9" spans="1:13" ht="14.45" customHeight="1" thickBot="1" x14ac:dyDescent="0.25">
      <c r="A9" s="88"/>
      <c r="B9" s="88"/>
      <c r="C9" s="88" t="s">
        <v>971</v>
      </c>
      <c r="D9" s="88" t="s">
        <v>289</v>
      </c>
      <c r="E9" s="88" t="s">
        <v>972</v>
      </c>
      <c r="F9" s="88" t="s">
        <v>289</v>
      </c>
      <c r="G9" s="88"/>
      <c r="H9" s="88" t="s">
        <v>968</v>
      </c>
      <c r="I9" s="88" t="s">
        <v>969</v>
      </c>
      <c r="J9" s="88" t="s">
        <v>970</v>
      </c>
      <c r="K9" s="88" t="s">
        <v>970</v>
      </c>
      <c r="L9" s="88" t="s">
        <v>970</v>
      </c>
    </row>
    <row r="10" spans="1:13" ht="14.45" customHeight="1" thickTop="1" thickBot="1" x14ac:dyDescent="0.3">
      <c r="A10" s="207" t="s">
        <v>1430</v>
      </c>
      <c r="B10" s="186"/>
      <c r="C10" s="195" t="s">
        <v>966</v>
      </c>
      <c r="D10" s="195" t="s">
        <v>68</v>
      </c>
      <c r="E10" s="195" t="s">
        <v>0</v>
      </c>
      <c r="F10" s="195" t="s">
        <v>22</v>
      </c>
      <c r="G10" s="195"/>
      <c r="H10" s="197"/>
      <c r="I10" s="193" t="s">
        <v>294</v>
      </c>
      <c r="J10" s="192" t="s">
        <v>230</v>
      </c>
      <c r="K10" s="193"/>
      <c r="L10" s="193"/>
    </row>
    <row r="11" spans="1:13" ht="14.45" customHeight="1" thickTop="1" x14ac:dyDescent="0.2"/>
    <row r="12" spans="1:13" ht="14.45" customHeight="1" x14ac:dyDescent="0.25">
      <c r="A12" s="186" t="s">
        <v>1075</v>
      </c>
      <c r="B12" s="186" t="s">
        <v>1068</v>
      </c>
      <c r="C12" s="118" t="s">
        <v>107</v>
      </c>
      <c r="D12" s="88"/>
      <c r="E12" s="88"/>
      <c r="F12" s="88"/>
      <c r="G12" s="88"/>
      <c r="H12" s="88"/>
      <c r="I12" s="88"/>
      <c r="J12" s="205">
        <v>4</v>
      </c>
      <c r="K12" s="205"/>
      <c r="L12" s="205"/>
    </row>
    <row r="13" spans="1:13" ht="14.45" customHeight="1" x14ac:dyDescent="0.2">
      <c r="A13" s="88"/>
      <c r="B13" s="88"/>
      <c r="C13" s="88" t="s">
        <v>971</v>
      </c>
      <c r="D13" s="88" t="s">
        <v>289</v>
      </c>
      <c r="E13" s="88" t="s">
        <v>972</v>
      </c>
      <c r="F13" s="88" t="s">
        <v>289</v>
      </c>
      <c r="G13" s="88"/>
      <c r="H13" s="88" t="s">
        <v>968</v>
      </c>
      <c r="I13" s="88" t="s">
        <v>969</v>
      </c>
      <c r="J13" s="88" t="s">
        <v>970</v>
      </c>
      <c r="K13" s="88" t="s">
        <v>970</v>
      </c>
      <c r="L13" s="88" t="s">
        <v>970</v>
      </c>
    </row>
    <row r="14" spans="1:13" ht="14.45" customHeight="1" x14ac:dyDescent="0.25">
      <c r="A14" s="186" t="s">
        <v>1076</v>
      </c>
      <c r="B14" s="186"/>
      <c r="C14" s="195" t="s">
        <v>0</v>
      </c>
      <c r="D14" s="195" t="s">
        <v>290</v>
      </c>
      <c r="E14" s="196" t="s">
        <v>1421</v>
      </c>
      <c r="F14" s="195" t="s">
        <v>68</v>
      </c>
      <c r="G14" s="196" t="s">
        <v>1422</v>
      </c>
      <c r="H14" s="197"/>
      <c r="I14" s="193" t="s">
        <v>295</v>
      </c>
      <c r="J14" s="193"/>
      <c r="K14" s="193"/>
      <c r="L14" s="193"/>
    </row>
    <row r="15" spans="1:13" ht="14.45" customHeight="1" x14ac:dyDescent="0.25">
      <c r="A15" s="186" t="s">
        <v>1077</v>
      </c>
      <c r="B15" s="186"/>
      <c r="C15" s="195" t="s">
        <v>1421</v>
      </c>
      <c r="D15" s="195" t="s">
        <v>68</v>
      </c>
      <c r="E15" s="195" t="s">
        <v>1164</v>
      </c>
      <c r="F15" s="195" t="s">
        <v>22</v>
      </c>
      <c r="G15" s="195"/>
      <c r="H15" s="197"/>
      <c r="I15" s="193" t="s">
        <v>2</v>
      </c>
      <c r="J15" s="193"/>
      <c r="K15" s="193"/>
      <c r="L15" s="193"/>
    </row>
    <row r="16" spans="1:13" ht="14.45" customHeight="1" x14ac:dyDescent="0.25">
      <c r="A16" s="186" t="s">
        <v>1423</v>
      </c>
      <c r="B16" s="186"/>
      <c r="C16" s="194" t="s">
        <v>1164</v>
      </c>
      <c r="D16" s="195" t="s">
        <v>22</v>
      </c>
      <c r="E16" s="195" t="s">
        <v>1163</v>
      </c>
      <c r="F16" s="195" t="s">
        <v>68</v>
      </c>
      <c r="G16" s="195"/>
      <c r="H16" s="197"/>
      <c r="I16" s="193" t="s">
        <v>296</v>
      </c>
      <c r="J16" s="193"/>
      <c r="K16" s="193"/>
      <c r="L16" s="193"/>
      <c r="M16" t="s">
        <v>1170</v>
      </c>
    </row>
    <row r="18" spans="1:14" ht="14.45" customHeight="1" x14ac:dyDescent="0.25">
      <c r="A18" s="186" t="s">
        <v>1078</v>
      </c>
      <c r="B18" s="186" t="s">
        <v>1068</v>
      </c>
      <c r="C18" s="118" t="s">
        <v>1079</v>
      </c>
      <c r="D18" s="88"/>
      <c r="E18" s="88"/>
      <c r="F18" s="88"/>
      <c r="G18" s="88"/>
      <c r="H18" s="88"/>
      <c r="I18" s="88"/>
      <c r="J18" s="205">
        <v>5</v>
      </c>
      <c r="K18" s="205"/>
      <c r="L18" s="205"/>
    </row>
    <row r="19" spans="1:14" ht="14.45" customHeight="1" x14ac:dyDescent="0.2">
      <c r="A19" s="88"/>
      <c r="B19" s="88"/>
      <c r="C19" s="88" t="s">
        <v>971</v>
      </c>
      <c r="D19" s="88" t="s">
        <v>289</v>
      </c>
      <c r="E19" s="88" t="s">
        <v>972</v>
      </c>
      <c r="F19" s="88" t="s">
        <v>289</v>
      </c>
      <c r="G19" s="88"/>
      <c r="H19" s="88" t="s">
        <v>968</v>
      </c>
      <c r="I19" s="88" t="s">
        <v>969</v>
      </c>
      <c r="J19" s="88" t="s">
        <v>970</v>
      </c>
      <c r="K19" s="88" t="s">
        <v>970</v>
      </c>
      <c r="L19" s="88" t="s">
        <v>970</v>
      </c>
    </row>
    <row r="20" spans="1:14" ht="14.45" customHeight="1" x14ac:dyDescent="0.25">
      <c r="A20" s="186" t="s">
        <v>1080</v>
      </c>
      <c r="B20" s="186"/>
      <c r="C20" s="195" t="s">
        <v>966</v>
      </c>
      <c r="D20" s="195" t="s">
        <v>68</v>
      </c>
      <c r="E20" s="238" t="s">
        <v>126</v>
      </c>
      <c r="F20" s="195" t="s">
        <v>290</v>
      </c>
      <c r="G20" s="195"/>
      <c r="H20" s="195">
        <v>3</v>
      </c>
      <c r="I20" s="193" t="s">
        <v>294</v>
      </c>
      <c r="J20" s="195" t="s">
        <v>232</v>
      </c>
      <c r="K20" s="195" t="s">
        <v>233</v>
      </c>
      <c r="L20" s="193"/>
      <c r="N20" s="238" t="s">
        <v>1621</v>
      </c>
    </row>
    <row r="21" spans="1:14" ht="14.45" customHeight="1" x14ac:dyDescent="0.25">
      <c r="A21" s="234" t="s">
        <v>446</v>
      </c>
      <c r="B21" s="234"/>
      <c r="C21" s="237" t="s">
        <v>1</v>
      </c>
      <c r="D21" s="235" t="s">
        <v>290</v>
      </c>
      <c r="E21" s="235" t="s">
        <v>1</v>
      </c>
      <c r="F21" s="235" t="s">
        <v>22</v>
      </c>
      <c r="G21" s="235"/>
      <c r="H21" s="235">
        <v>4</v>
      </c>
      <c r="I21" s="236" t="s">
        <v>294</v>
      </c>
      <c r="J21" s="235" t="s">
        <v>232</v>
      </c>
      <c r="K21" s="235" t="s">
        <v>233</v>
      </c>
      <c r="L21" s="236"/>
      <c r="N21" s="235" t="s">
        <v>1622</v>
      </c>
    </row>
    <row r="22" spans="1:14" ht="14.45" customHeight="1" collapsed="1" x14ac:dyDescent="0.25">
      <c r="A22" s="234" t="s">
        <v>1081</v>
      </c>
      <c r="B22" s="234"/>
      <c r="C22" s="235" t="s">
        <v>1</v>
      </c>
      <c r="D22" s="235" t="s">
        <v>22</v>
      </c>
      <c r="E22" s="235" t="s">
        <v>69</v>
      </c>
      <c r="F22" s="235" t="s">
        <v>290</v>
      </c>
      <c r="G22" s="235"/>
      <c r="H22" s="235"/>
      <c r="I22" s="236" t="s">
        <v>981</v>
      </c>
      <c r="J22" s="235" t="s">
        <v>232</v>
      </c>
      <c r="K22" s="235" t="s">
        <v>233</v>
      </c>
      <c r="L22" s="236"/>
      <c r="N22" s="235" t="s">
        <v>1622</v>
      </c>
    </row>
    <row r="23" spans="1:14" ht="14.45" customHeight="1" x14ac:dyDescent="0.25">
      <c r="A23" s="187" t="s">
        <v>1082</v>
      </c>
      <c r="B23" s="187"/>
      <c r="C23" s="238" t="s">
        <v>126</v>
      </c>
      <c r="D23" s="203" t="s">
        <v>290</v>
      </c>
      <c r="E23" s="203" t="s">
        <v>126</v>
      </c>
      <c r="F23" s="203" t="s">
        <v>22</v>
      </c>
      <c r="G23" s="203"/>
      <c r="H23" s="203">
        <v>5</v>
      </c>
      <c r="I23" s="19" t="s">
        <v>294</v>
      </c>
      <c r="J23" s="203" t="s">
        <v>232</v>
      </c>
      <c r="K23" s="203" t="s">
        <v>233</v>
      </c>
      <c r="L23" s="19"/>
      <c r="N23" s="238" t="s">
        <v>1621</v>
      </c>
    </row>
    <row r="24" spans="1:14" ht="14.45" customHeight="1" x14ac:dyDescent="0.25">
      <c r="A24" s="186" t="s">
        <v>1083</v>
      </c>
      <c r="B24" s="186"/>
      <c r="C24" s="195" t="s">
        <v>1447</v>
      </c>
      <c r="D24" s="195" t="s">
        <v>22</v>
      </c>
      <c r="E24" s="196" t="s">
        <v>1084</v>
      </c>
      <c r="F24" s="195" t="s">
        <v>290</v>
      </c>
      <c r="G24" s="196" t="s">
        <v>965</v>
      </c>
      <c r="H24" s="197"/>
      <c r="I24" s="193" t="s">
        <v>295</v>
      </c>
      <c r="J24" s="195" t="s">
        <v>232</v>
      </c>
      <c r="K24" s="195" t="s">
        <v>233</v>
      </c>
      <c r="L24" s="193"/>
    </row>
    <row r="25" spans="1:14" ht="14.45" customHeight="1" x14ac:dyDescent="0.25">
      <c r="A25" s="186" t="s">
        <v>1171</v>
      </c>
      <c r="B25" s="186"/>
      <c r="C25" s="195" t="s">
        <v>1084</v>
      </c>
      <c r="D25" s="195" t="s">
        <v>290</v>
      </c>
      <c r="E25" s="203" t="s">
        <v>811</v>
      </c>
      <c r="F25" s="195" t="s">
        <v>290</v>
      </c>
      <c r="G25" s="203"/>
      <c r="H25" s="195">
        <v>6</v>
      </c>
      <c r="I25" s="193" t="s">
        <v>1446</v>
      </c>
      <c r="J25" s="193"/>
      <c r="K25" s="193"/>
      <c r="L25" s="193"/>
    </row>
    <row r="26" spans="1:14" ht="14.45" customHeight="1" x14ac:dyDescent="0.25">
      <c r="A26" s="186" t="s">
        <v>447</v>
      </c>
      <c r="B26" s="186"/>
      <c r="C26" s="194" t="s">
        <v>811</v>
      </c>
      <c r="D26" s="195" t="s">
        <v>290</v>
      </c>
      <c r="E26" s="196" t="s">
        <v>1445</v>
      </c>
      <c r="F26" s="195" t="s">
        <v>290</v>
      </c>
      <c r="G26" s="196" t="s">
        <v>1172</v>
      </c>
      <c r="H26" s="197"/>
      <c r="I26" s="193" t="s">
        <v>295</v>
      </c>
      <c r="J26" s="195" t="s">
        <v>1173</v>
      </c>
      <c r="K26" s="193"/>
      <c r="L26" s="193"/>
    </row>
    <row r="27" spans="1:14" ht="14.45" customHeight="1" x14ac:dyDescent="0.25">
      <c r="A27" s="186" t="s">
        <v>448</v>
      </c>
      <c r="B27" s="186"/>
      <c r="C27" s="194" t="s">
        <v>1445</v>
      </c>
      <c r="D27" s="195" t="s">
        <v>290</v>
      </c>
      <c r="E27" s="195" t="s">
        <v>1174</v>
      </c>
      <c r="F27" s="195" t="s">
        <v>68</v>
      </c>
      <c r="G27" s="195"/>
      <c r="H27" s="197"/>
      <c r="I27" s="193" t="s">
        <v>296</v>
      </c>
      <c r="J27" s="193"/>
      <c r="K27" s="193"/>
      <c r="L27" s="193"/>
    </row>
    <row r="28" spans="1:14" ht="14.45" customHeight="1" x14ac:dyDescent="0.25">
      <c r="A28" s="186" t="s">
        <v>1431</v>
      </c>
      <c r="B28" s="186" t="s">
        <v>1068</v>
      </c>
      <c r="C28" s="118" t="s">
        <v>1142</v>
      </c>
      <c r="D28" s="88"/>
      <c r="E28" s="88"/>
      <c r="F28" s="88"/>
      <c r="G28" s="88"/>
      <c r="H28" s="88"/>
      <c r="I28" s="88"/>
      <c r="J28" s="205" t="s">
        <v>73</v>
      </c>
      <c r="K28" s="205"/>
      <c r="L28" s="205"/>
    </row>
    <row r="29" spans="1:14" ht="14.45" customHeight="1" thickBot="1" x14ac:dyDescent="0.25">
      <c r="A29" s="88"/>
      <c r="B29" s="88"/>
      <c r="C29" s="88" t="s">
        <v>971</v>
      </c>
      <c r="D29" s="88" t="s">
        <v>289</v>
      </c>
      <c r="E29" s="88" t="s">
        <v>972</v>
      </c>
      <c r="F29" s="88" t="s">
        <v>289</v>
      </c>
      <c r="G29" s="88"/>
      <c r="H29" s="88" t="s">
        <v>968</v>
      </c>
      <c r="I29" s="88" t="s">
        <v>969</v>
      </c>
      <c r="J29" s="88" t="s">
        <v>970</v>
      </c>
      <c r="K29" s="88" t="s">
        <v>970</v>
      </c>
      <c r="L29" s="88" t="s">
        <v>970</v>
      </c>
    </row>
    <row r="30" spans="1:14" ht="14.45" customHeight="1" collapsed="1" thickTop="1" thickBot="1" x14ac:dyDescent="0.3">
      <c r="A30" s="207" t="s">
        <v>1432</v>
      </c>
      <c r="B30" s="186"/>
      <c r="C30" s="195" t="s">
        <v>967</v>
      </c>
      <c r="D30" s="195" t="s">
        <v>68</v>
      </c>
      <c r="E30" s="195" t="s">
        <v>1178</v>
      </c>
      <c r="F30" s="195" t="s">
        <v>68</v>
      </c>
      <c r="G30" s="195"/>
      <c r="H30" s="197"/>
      <c r="I30" s="193" t="s">
        <v>294</v>
      </c>
      <c r="J30" s="195" t="s">
        <v>234</v>
      </c>
      <c r="K30" s="193"/>
      <c r="L30" s="193"/>
    </row>
    <row r="31" spans="1:14" ht="14.45" customHeight="1" thickTop="1" thickBot="1" x14ac:dyDescent="0.3">
      <c r="A31" s="207" t="s">
        <v>1433</v>
      </c>
      <c r="B31" s="186"/>
      <c r="C31" s="195" t="s">
        <v>1178</v>
      </c>
      <c r="D31" s="195" t="s">
        <v>68</v>
      </c>
      <c r="E31" s="195" t="s">
        <v>1470</v>
      </c>
      <c r="F31" s="195" t="s">
        <v>22</v>
      </c>
      <c r="G31" s="190"/>
      <c r="H31" s="197"/>
      <c r="I31" s="193" t="s">
        <v>294</v>
      </c>
      <c r="J31" s="195" t="s">
        <v>234</v>
      </c>
      <c r="K31" s="193"/>
      <c r="L31" s="193"/>
    </row>
    <row r="32" spans="1:14" ht="14.45" customHeight="1" thickTop="1" thickBot="1" x14ac:dyDescent="0.3">
      <c r="A32" s="207" t="s">
        <v>1434</v>
      </c>
      <c r="B32" s="186"/>
      <c r="C32" s="195" t="s">
        <v>1470</v>
      </c>
      <c r="D32" s="195" t="s">
        <v>22</v>
      </c>
      <c r="E32" s="195" t="s">
        <v>829</v>
      </c>
      <c r="F32" s="195" t="s">
        <v>22</v>
      </c>
      <c r="G32" s="195"/>
      <c r="H32" s="197"/>
      <c r="I32" s="193" t="s">
        <v>295</v>
      </c>
      <c r="J32" s="195" t="s">
        <v>234</v>
      </c>
      <c r="K32" s="193"/>
      <c r="L32" s="193"/>
    </row>
    <row r="33" spans="1:14" ht="14.45" customHeight="1" thickTop="1" x14ac:dyDescent="0.2"/>
    <row r="34" spans="1:14" ht="14.45" customHeight="1" x14ac:dyDescent="0.25">
      <c r="A34" s="186" t="s">
        <v>828</v>
      </c>
      <c r="B34" s="186" t="s">
        <v>1068</v>
      </c>
      <c r="C34" s="118" t="s">
        <v>1085</v>
      </c>
      <c r="D34" s="88"/>
      <c r="E34" s="88"/>
      <c r="F34" s="88"/>
      <c r="G34" s="88"/>
      <c r="H34" s="88"/>
      <c r="I34" s="88"/>
      <c r="J34" s="205">
        <v>6</v>
      </c>
      <c r="K34" s="205"/>
      <c r="L34" s="205"/>
    </row>
    <row r="35" spans="1:14" ht="14.45" customHeight="1" x14ac:dyDescent="0.2">
      <c r="A35" s="88"/>
      <c r="B35" s="88"/>
      <c r="C35" s="88" t="s">
        <v>971</v>
      </c>
      <c r="D35" s="88" t="s">
        <v>289</v>
      </c>
      <c r="E35" s="88" t="s">
        <v>972</v>
      </c>
      <c r="F35" s="88" t="s">
        <v>289</v>
      </c>
      <c r="G35" s="88"/>
      <c r="H35" s="88" t="s">
        <v>968</v>
      </c>
      <c r="I35" s="88" t="s">
        <v>969</v>
      </c>
      <c r="J35" s="88" t="s">
        <v>970</v>
      </c>
      <c r="K35" s="88" t="s">
        <v>970</v>
      </c>
      <c r="L35" s="88" t="s">
        <v>970</v>
      </c>
    </row>
    <row r="36" spans="1:14" ht="14.45" customHeight="1" x14ac:dyDescent="0.25">
      <c r="A36" s="186" t="s">
        <v>1086</v>
      </c>
      <c r="B36" s="186"/>
      <c r="C36" s="195" t="s">
        <v>1174</v>
      </c>
      <c r="D36" s="195" t="s">
        <v>290</v>
      </c>
      <c r="E36" s="195" t="s">
        <v>34</v>
      </c>
      <c r="F36" s="195" t="s">
        <v>290</v>
      </c>
      <c r="G36" s="195"/>
      <c r="H36" s="195">
        <v>7</v>
      </c>
      <c r="I36" s="193" t="s">
        <v>78</v>
      </c>
      <c r="J36" s="193"/>
      <c r="K36" s="193"/>
      <c r="L36" s="193"/>
    </row>
    <row r="37" spans="1:14" ht="14.45" customHeight="1" x14ac:dyDescent="0.25">
      <c r="A37" s="186" t="s">
        <v>1087</v>
      </c>
      <c r="B37" s="186"/>
      <c r="C37" s="195" t="s">
        <v>34</v>
      </c>
      <c r="D37" s="195" t="s">
        <v>290</v>
      </c>
      <c r="E37" s="195" t="s">
        <v>27</v>
      </c>
      <c r="F37" s="195" t="s">
        <v>290</v>
      </c>
      <c r="G37" s="195"/>
      <c r="H37" s="195">
        <v>8</v>
      </c>
      <c r="I37" s="193" t="s">
        <v>294</v>
      </c>
      <c r="J37" s="195" t="s">
        <v>234</v>
      </c>
      <c r="K37" s="193"/>
      <c r="L37" s="193"/>
    </row>
    <row r="38" spans="1:14" ht="14.45" customHeight="1" x14ac:dyDescent="0.25">
      <c r="A38" s="186" t="s">
        <v>1175</v>
      </c>
      <c r="B38" s="186"/>
      <c r="C38" s="195" t="s">
        <v>27</v>
      </c>
      <c r="D38" s="195" t="s">
        <v>290</v>
      </c>
      <c r="E38" s="195" t="s">
        <v>829</v>
      </c>
      <c r="F38" s="195" t="s">
        <v>290</v>
      </c>
      <c r="G38" s="195"/>
      <c r="H38" s="195">
        <v>9</v>
      </c>
      <c r="I38" s="193" t="s">
        <v>294</v>
      </c>
      <c r="J38" s="195" t="s">
        <v>234</v>
      </c>
      <c r="K38" s="193"/>
      <c r="L38" s="193"/>
    </row>
    <row r="39" spans="1:14" ht="14.45" customHeight="1" x14ac:dyDescent="0.25">
      <c r="A39" s="186" t="s">
        <v>1177</v>
      </c>
      <c r="B39" s="186"/>
      <c r="C39" s="195" t="s">
        <v>829</v>
      </c>
      <c r="D39" s="195" t="s">
        <v>290</v>
      </c>
      <c r="E39" s="195" t="s">
        <v>1176</v>
      </c>
      <c r="F39" s="195" t="s">
        <v>290</v>
      </c>
      <c r="G39" s="195"/>
      <c r="H39" s="197"/>
      <c r="I39" s="193" t="s">
        <v>1162</v>
      </c>
      <c r="J39" s="193"/>
      <c r="K39" s="193"/>
      <c r="L39" s="193"/>
    </row>
    <row r="40" spans="1:14" ht="14.45" customHeight="1" x14ac:dyDescent="0.25">
      <c r="A40" s="186" t="s">
        <v>1448</v>
      </c>
      <c r="B40" s="186"/>
      <c r="C40" s="195" t="s">
        <v>1176</v>
      </c>
      <c r="D40" s="195" t="s">
        <v>290</v>
      </c>
      <c r="E40" s="195" t="s">
        <v>967</v>
      </c>
      <c r="F40" s="195" t="s">
        <v>68</v>
      </c>
      <c r="G40" s="195"/>
      <c r="H40" s="197"/>
      <c r="I40" s="193" t="s">
        <v>296</v>
      </c>
      <c r="J40" s="193"/>
      <c r="K40" s="193"/>
      <c r="L40" s="193"/>
    </row>
    <row r="41" spans="1:14" ht="14.45" customHeight="1" thickBot="1" x14ac:dyDescent="0.25">
      <c r="A41" s="88"/>
      <c r="B41" s="88"/>
      <c r="C41" s="88" t="s">
        <v>971</v>
      </c>
      <c r="D41" s="88" t="s">
        <v>289</v>
      </c>
      <c r="E41" s="88" t="s">
        <v>972</v>
      </c>
      <c r="F41" s="88" t="s">
        <v>289</v>
      </c>
      <c r="G41" s="88"/>
      <c r="H41" s="88" t="s">
        <v>968</v>
      </c>
      <c r="I41" s="88" t="s">
        <v>969</v>
      </c>
      <c r="J41" s="88" t="s">
        <v>970</v>
      </c>
      <c r="K41" s="88" t="s">
        <v>970</v>
      </c>
      <c r="L41" s="88" t="s">
        <v>970</v>
      </c>
    </row>
    <row r="42" spans="1:14" ht="14.45" customHeight="1" thickTop="1" thickBot="1" x14ac:dyDescent="0.3">
      <c r="A42" s="207" t="s">
        <v>1620</v>
      </c>
      <c r="B42" s="186"/>
      <c r="C42" s="195" t="s">
        <v>967</v>
      </c>
      <c r="D42" s="195" t="s">
        <v>68</v>
      </c>
      <c r="E42" s="195" t="s">
        <v>829</v>
      </c>
      <c r="F42" s="195" t="s">
        <v>22</v>
      </c>
      <c r="G42" s="195"/>
      <c r="H42" s="197"/>
      <c r="I42" s="193" t="s">
        <v>294</v>
      </c>
      <c r="J42" s="195" t="s">
        <v>234</v>
      </c>
      <c r="K42" s="193"/>
      <c r="L42" s="193"/>
    </row>
    <row r="43" spans="1:14" ht="14.45" customHeight="1" thickTop="1" x14ac:dyDescent="0.2"/>
    <row r="44" spans="1:14" ht="14.45" customHeight="1" x14ac:dyDescent="0.25">
      <c r="A44" s="186" t="s">
        <v>1088</v>
      </c>
      <c r="B44" s="186" t="s">
        <v>1068</v>
      </c>
      <c r="C44" s="118" t="s">
        <v>1089</v>
      </c>
      <c r="D44" s="88"/>
      <c r="E44" s="88"/>
      <c r="F44" s="88"/>
      <c r="G44" s="88"/>
      <c r="H44" s="88"/>
      <c r="I44" s="88"/>
      <c r="J44" s="205">
        <v>0</v>
      </c>
      <c r="K44" s="205"/>
      <c r="L44" s="205"/>
    </row>
    <row r="45" spans="1:14" ht="14.45" customHeight="1" x14ac:dyDescent="0.2">
      <c r="A45" s="88"/>
      <c r="B45" s="88"/>
      <c r="C45" s="88" t="s">
        <v>971</v>
      </c>
      <c r="D45" s="88" t="s">
        <v>289</v>
      </c>
      <c r="E45" s="88" t="s">
        <v>972</v>
      </c>
      <c r="F45" s="88" t="s">
        <v>289</v>
      </c>
      <c r="G45" s="88"/>
      <c r="H45" s="88" t="s">
        <v>968</v>
      </c>
      <c r="I45" s="88" t="s">
        <v>969</v>
      </c>
      <c r="J45" s="88" t="s">
        <v>970</v>
      </c>
      <c r="K45" s="88" t="s">
        <v>970</v>
      </c>
      <c r="L45" s="88" t="s">
        <v>970</v>
      </c>
    </row>
    <row r="46" spans="1:14" ht="14.45" customHeight="1" x14ac:dyDescent="0.25">
      <c r="A46" s="186" t="s">
        <v>1090</v>
      </c>
      <c r="B46" s="186"/>
      <c r="C46" s="194" t="s">
        <v>967</v>
      </c>
      <c r="D46" s="195" t="s">
        <v>68</v>
      </c>
      <c r="E46" s="238" t="s">
        <v>128</v>
      </c>
      <c r="F46" s="195" t="s">
        <v>290</v>
      </c>
      <c r="G46" s="195"/>
      <c r="H46" s="195">
        <v>10</v>
      </c>
      <c r="I46" s="193" t="s">
        <v>294</v>
      </c>
      <c r="J46" s="195" t="s">
        <v>236</v>
      </c>
      <c r="K46" s="195" t="s">
        <v>235</v>
      </c>
      <c r="L46" s="193"/>
      <c r="N46" s="238" t="s">
        <v>1621</v>
      </c>
    </row>
    <row r="47" spans="1:14" ht="14.45" customHeight="1" x14ac:dyDescent="0.25">
      <c r="A47" s="234" t="s">
        <v>1091</v>
      </c>
      <c r="B47" s="234"/>
      <c r="C47" s="237" t="s">
        <v>127</v>
      </c>
      <c r="D47" s="235" t="s">
        <v>290</v>
      </c>
      <c r="E47" s="235" t="s">
        <v>127</v>
      </c>
      <c r="F47" s="235" t="s">
        <v>22</v>
      </c>
      <c r="G47" s="235"/>
      <c r="H47" s="235">
        <v>11</v>
      </c>
      <c r="I47" s="236" t="s">
        <v>78</v>
      </c>
      <c r="J47" s="235" t="s">
        <v>236</v>
      </c>
      <c r="K47" s="235" t="s">
        <v>235</v>
      </c>
      <c r="L47" s="236"/>
      <c r="N47" s="235" t="s">
        <v>1622</v>
      </c>
    </row>
    <row r="48" spans="1:14" ht="14.45" customHeight="1" collapsed="1" x14ac:dyDescent="0.25">
      <c r="A48" s="234" t="s">
        <v>1092</v>
      </c>
      <c r="B48" s="234"/>
      <c r="C48" s="235" t="s">
        <v>127</v>
      </c>
      <c r="D48" s="235" t="s">
        <v>22</v>
      </c>
      <c r="E48" s="235" t="s">
        <v>70</v>
      </c>
      <c r="F48" s="235" t="s">
        <v>290</v>
      </c>
      <c r="G48" s="235"/>
      <c r="H48" s="235"/>
      <c r="I48" s="236" t="s">
        <v>981</v>
      </c>
      <c r="J48" s="235" t="s">
        <v>236</v>
      </c>
      <c r="K48" s="235" t="s">
        <v>235</v>
      </c>
      <c r="L48" s="236"/>
      <c r="N48" s="235" t="s">
        <v>1622</v>
      </c>
    </row>
    <row r="49" spans="1:14" ht="14.45" customHeight="1" x14ac:dyDescent="0.25">
      <c r="A49" s="186" t="s">
        <v>1093</v>
      </c>
      <c r="B49" s="186"/>
      <c r="C49" s="238" t="s">
        <v>128</v>
      </c>
      <c r="D49" s="195" t="s">
        <v>290</v>
      </c>
      <c r="E49" s="195" t="s">
        <v>128</v>
      </c>
      <c r="F49" s="195" t="s">
        <v>22</v>
      </c>
      <c r="G49" s="195"/>
      <c r="H49" s="195">
        <v>12</v>
      </c>
      <c r="I49" s="193" t="s">
        <v>294</v>
      </c>
      <c r="J49" s="195" t="s">
        <v>236</v>
      </c>
      <c r="K49" s="195" t="s">
        <v>235</v>
      </c>
      <c r="L49" s="193"/>
      <c r="N49" s="238" t="s">
        <v>1621</v>
      </c>
    </row>
    <row r="50" spans="1:14" ht="14.45" customHeight="1" x14ac:dyDescent="0.25">
      <c r="A50" s="186" t="s">
        <v>1094</v>
      </c>
      <c r="B50" s="186"/>
      <c r="C50" s="195" t="s">
        <v>128</v>
      </c>
      <c r="D50" s="195" t="s">
        <v>22</v>
      </c>
      <c r="E50" s="196" t="s">
        <v>1095</v>
      </c>
      <c r="F50" s="195" t="s">
        <v>290</v>
      </c>
      <c r="G50" s="188" t="s">
        <v>964</v>
      </c>
      <c r="H50" s="191"/>
      <c r="I50" t="s">
        <v>295</v>
      </c>
      <c r="J50" s="195" t="s">
        <v>236</v>
      </c>
      <c r="K50" s="195" t="s">
        <v>235</v>
      </c>
      <c r="M50" t="s">
        <v>1179</v>
      </c>
    </row>
    <row r="51" spans="1:14" ht="14.45" customHeight="1" x14ac:dyDescent="0.25">
      <c r="A51" s="186" t="s">
        <v>1096</v>
      </c>
      <c r="B51" s="186"/>
      <c r="C51" s="195" t="s">
        <v>1095</v>
      </c>
      <c r="D51" s="195" t="s">
        <v>290</v>
      </c>
      <c r="E51" s="196" t="s">
        <v>1097</v>
      </c>
      <c r="F51" s="195" t="s">
        <v>290</v>
      </c>
      <c r="G51" s="196" t="s">
        <v>1144</v>
      </c>
      <c r="H51" s="197"/>
      <c r="I51" s="193" t="s">
        <v>295</v>
      </c>
      <c r="J51" s="195" t="s">
        <v>1098</v>
      </c>
      <c r="K51" s="193"/>
      <c r="L51" s="193"/>
      <c r="M51" t="s">
        <v>1179</v>
      </c>
    </row>
    <row r="52" spans="1:14" ht="14.45" customHeight="1" x14ac:dyDescent="0.25">
      <c r="A52" s="186" t="s">
        <v>1180</v>
      </c>
      <c r="B52" s="186"/>
      <c r="C52" s="194" t="s">
        <v>1097</v>
      </c>
      <c r="D52" s="195" t="s">
        <v>290</v>
      </c>
      <c r="E52" s="192" t="s">
        <v>130</v>
      </c>
      <c r="F52" s="192" t="s">
        <v>290</v>
      </c>
      <c r="G52" s="195"/>
      <c r="H52" s="195">
        <v>13</v>
      </c>
      <c r="I52" s="193" t="s">
        <v>78</v>
      </c>
      <c r="J52" s="193"/>
      <c r="K52" s="193"/>
      <c r="L52" s="193"/>
    </row>
    <row r="53" spans="1:14" ht="14.45" customHeight="1" x14ac:dyDescent="0.25">
      <c r="A53" s="186" t="s">
        <v>1181</v>
      </c>
      <c r="B53" s="186"/>
      <c r="C53" s="192" t="s">
        <v>130</v>
      </c>
      <c r="D53" s="192" t="s">
        <v>290</v>
      </c>
      <c r="E53" s="195" t="s">
        <v>1182</v>
      </c>
      <c r="F53" s="195" t="s">
        <v>68</v>
      </c>
      <c r="G53" s="189"/>
      <c r="H53" s="197"/>
      <c r="I53" s="193" t="s">
        <v>296</v>
      </c>
      <c r="J53" s="193"/>
      <c r="K53" s="193"/>
      <c r="L53" s="193"/>
      <c r="M53" t="s">
        <v>1187</v>
      </c>
    </row>
    <row r="54" spans="1:14" ht="14.45" customHeight="1" x14ac:dyDescent="0.25">
      <c r="A54" s="186" t="s">
        <v>1435</v>
      </c>
      <c r="B54" s="186" t="s">
        <v>1068</v>
      </c>
      <c r="C54" s="118" t="s">
        <v>1143</v>
      </c>
      <c r="D54" s="88"/>
      <c r="E54" s="88"/>
      <c r="F54" s="88"/>
      <c r="G54" s="88"/>
      <c r="H54" s="88"/>
      <c r="I54" s="88"/>
      <c r="J54" s="205" t="s">
        <v>73</v>
      </c>
      <c r="K54" s="205"/>
      <c r="L54" s="205"/>
    </row>
    <row r="55" spans="1:14" ht="14.45" customHeight="1" thickBot="1" x14ac:dyDescent="0.25">
      <c r="A55" s="88"/>
      <c r="B55" s="88"/>
      <c r="C55" s="88" t="s">
        <v>971</v>
      </c>
      <c r="D55" s="88" t="s">
        <v>289</v>
      </c>
      <c r="E55" s="88" t="s">
        <v>972</v>
      </c>
      <c r="F55" s="88" t="s">
        <v>289</v>
      </c>
      <c r="G55" s="88"/>
      <c r="H55" s="88" t="s">
        <v>968</v>
      </c>
      <c r="I55" s="88" t="s">
        <v>969</v>
      </c>
      <c r="J55" s="88" t="s">
        <v>970</v>
      </c>
      <c r="K55" s="88" t="s">
        <v>970</v>
      </c>
      <c r="L55" s="88" t="s">
        <v>970</v>
      </c>
    </row>
    <row r="56" spans="1:14" ht="14.45" customHeight="1" thickTop="1" thickBot="1" x14ac:dyDescent="0.3">
      <c r="A56" s="207" t="s">
        <v>1436</v>
      </c>
      <c r="B56" s="186"/>
      <c r="C56" s="195" t="s">
        <v>1182</v>
      </c>
      <c r="D56" s="195" t="s">
        <v>68</v>
      </c>
      <c r="E56" s="196" t="s">
        <v>1443</v>
      </c>
      <c r="F56" s="195" t="s">
        <v>290</v>
      </c>
      <c r="G56" s="196" t="s">
        <v>1184</v>
      </c>
      <c r="H56" s="197"/>
      <c r="I56" s="193" t="s">
        <v>294</v>
      </c>
      <c r="J56" s="195" t="s">
        <v>298</v>
      </c>
      <c r="K56" s="193"/>
      <c r="L56" s="193"/>
    </row>
    <row r="57" spans="1:14" ht="14.45" customHeight="1" thickTop="1" thickBot="1" x14ac:dyDescent="0.3">
      <c r="A57" s="207" t="s">
        <v>1437</v>
      </c>
      <c r="B57" s="186"/>
      <c r="C57" s="195" t="s">
        <v>1183</v>
      </c>
      <c r="D57" s="195" t="s">
        <v>290</v>
      </c>
      <c r="E57" s="195" t="s">
        <v>1471</v>
      </c>
      <c r="F57" s="195" t="s">
        <v>68</v>
      </c>
      <c r="G57" s="195"/>
      <c r="H57" s="197"/>
      <c r="I57" s="193" t="s">
        <v>294</v>
      </c>
      <c r="J57" s="195" t="s">
        <v>298</v>
      </c>
      <c r="K57" s="193"/>
      <c r="L57" s="193"/>
      <c r="M57" t="s">
        <v>1185</v>
      </c>
    </row>
    <row r="58" spans="1:14" ht="14.45" customHeight="1" thickTop="1" x14ac:dyDescent="0.2"/>
    <row r="59" spans="1:14" ht="14.45" customHeight="1" x14ac:dyDescent="0.25">
      <c r="A59" s="186" t="s">
        <v>1099</v>
      </c>
      <c r="B59" s="186" t="s">
        <v>1068</v>
      </c>
      <c r="C59" s="118" t="s">
        <v>1186</v>
      </c>
      <c r="D59" s="88"/>
      <c r="E59" s="88"/>
      <c r="F59" s="88"/>
      <c r="G59" s="88"/>
      <c r="H59" s="88"/>
      <c r="I59" s="88"/>
      <c r="J59" s="205">
        <v>1</v>
      </c>
      <c r="K59" s="205"/>
      <c r="L59" s="205"/>
    </row>
    <row r="60" spans="1:14" ht="14.45" customHeight="1" x14ac:dyDescent="0.2">
      <c r="A60" s="88"/>
      <c r="B60" s="88"/>
      <c r="C60" s="88" t="s">
        <v>971</v>
      </c>
      <c r="D60" s="88" t="s">
        <v>289</v>
      </c>
      <c r="E60" s="88" t="s">
        <v>972</v>
      </c>
      <c r="F60" s="88" t="s">
        <v>289</v>
      </c>
      <c r="G60" s="88"/>
      <c r="H60" s="88" t="s">
        <v>968</v>
      </c>
      <c r="I60" s="88" t="s">
        <v>969</v>
      </c>
      <c r="J60" s="88" t="s">
        <v>970</v>
      </c>
      <c r="K60" s="88" t="s">
        <v>970</v>
      </c>
      <c r="L60" s="88" t="s">
        <v>970</v>
      </c>
    </row>
    <row r="61" spans="1:14" ht="14.45" customHeight="1" x14ac:dyDescent="0.25">
      <c r="A61" s="186" t="s">
        <v>1100</v>
      </c>
      <c r="B61" s="186"/>
      <c r="C61" s="194" t="s">
        <v>1182</v>
      </c>
      <c r="D61" s="195" t="s">
        <v>68</v>
      </c>
      <c r="E61" s="192" t="s">
        <v>131</v>
      </c>
      <c r="F61" s="192" t="s">
        <v>290</v>
      </c>
      <c r="G61" s="195"/>
      <c r="H61" s="195">
        <v>14</v>
      </c>
      <c r="I61" s="193" t="s">
        <v>294</v>
      </c>
      <c r="J61" s="192" t="s">
        <v>1058</v>
      </c>
      <c r="K61" s="193"/>
      <c r="L61" s="193"/>
    </row>
    <row r="62" spans="1:14" ht="14.45" customHeight="1" x14ac:dyDescent="0.25">
      <c r="A62" s="186" t="s">
        <v>1101</v>
      </c>
      <c r="B62" s="186"/>
      <c r="C62" s="194" t="s">
        <v>131</v>
      </c>
      <c r="D62" s="195" t="s">
        <v>290</v>
      </c>
      <c r="E62" s="195" t="s">
        <v>1188</v>
      </c>
      <c r="F62" s="195" t="s">
        <v>68</v>
      </c>
      <c r="G62" s="195"/>
      <c r="H62" s="197"/>
      <c r="I62" s="193" t="s">
        <v>296</v>
      </c>
      <c r="J62" s="192"/>
      <c r="K62" s="193"/>
      <c r="L62" s="193"/>
    </row>
    <row r="63" spans="1:14" ht="14.45" customHeight="1" x14ac:dyDescent="0.25">
      <c r="A63" s="186" t="s">
        <v>1438</v>
      </c>
      <c r="B63" s="186" t="s">
        <v>1068</v>
      </c>
      <c r="C63" s="118" t="s">
        <v>1189</v>
      </c>
      <c r="D63" s="88"/>
      <c r="E63" s="88"/>
      <c r="F63" s="88"/>
      <c r="G63" s="88"/>
      <c r="H63" s="88"/>
      <c r="I63" s="88"/>
      <c r="J63" s="205" t="s">
        <v>73</v>
      </c>
      <c r="K63" s="205"/>
      <c r="L63" s="205"/>
    </row>
    <row r="64" spans="1:14" ht="14.45" customHeight="1" thickBot="1" x14ac:dyDescent="0.25">
      <c r="A64" s="88" t="s">
        <v>1106</v>
      </c>
      <c r="B64" s="88"/>
      <c r="C64" s="88" t="s">
        <v>971</v>
      </c>
      <c r="D64" s="88" t="s">
        <v>289</v>
      </c>
      <c r="E64" s="88" t="s">
        <v>972</v>
      </c>
      <c r="F64" s="88" t="s">
        <v>289</v>
      </c>
      <c r="G64" s="88"/>
      <c r="H64" s="88" t="s">
        <v>968</v>
      </c>
      <c r="I64" s="88" t="s">
        <v>969</v>
      </c>
      <c r="J64" s="88" t="s">
        <v>970</v>
      </c>
      <c r="K64" s="88" t="s">
        <v>970</v>
      </c>
      <c r="L64" s="88" t="s">
        <v>970</v>
      </c>
    </row>
    <row r="65" spans="1:12" ht="14.45" customHeight="1" thickTop="1" thickBot="1" x14ac:dyDescent="0.3">
      <c r="A65" s="207" t="s">
        <v>1439</v>
      </c>
      <c r="B65" s="186"/>
      <c r="C65" s="195" t="s">
        <v>1188</v>
      </c>
      <c r="D65" s="195" t="s">
        <v>68</v>
      </c>
      <c r="E65" s="195" t="s">
        <v>132</v>
      </c>
      <c r="F65" s="195" t="s">
        <v>22</v>
      </c>
      <c r="G65" s="195"/>
      <c r="H65" s="197"/>
      <c r="I65" s="193" t="s">
        <v>294</v>
      </c>
      <c r="J65" s="192" t="s">
        <v>1058</v>
      </c>
      <c r="K65" s="193"/>
      <c r="L65" s="193"/>
    </row>
    <row r="66" spans="1:12" ht="14.45" customHeight="1" thickTop="1" thickBot="1" x14ac:dyDescent="0.3">
      <c r="A66" s="207" t="s">
        <v>1440</v>
      </c>
      <c r="B66" s="186"/>
      <c r="C66" s="195" t="s">
        <v>132</v>
      </c>
      <c r="D66" s="195" t="s">
        <v>22</v>
      </c>
      <c r="E66" s="196" t="s">
        <v>1444</v>
      </c>
      <c r="F66" s="195" t="s">
        <v>290</v>
      </c>
      <c r="G66" s="195"/>
      <c r="H66" s="197"/>
      <c r="I66" s="193" t="s">
        <v>295</v>
      </c>
      <c r="J66" s="192" t="s">
        <v>1058</v>
      </c>
      <c r="K66" s="193"/>
      <c r="L66" s="193"/>
    </row>
    <row r="67" spans="1:12" ht="14.45" customHeight="1" thickTop="1" x14ac:dyDescent="0.2"/>
    <row r="68" spans="1:12" ht="14.45" customHeight="1" x14ac:dyDescent="0.25">
      <c r="A68" s="186" t="s">
        <v>1102</v>
      </c>
      <c r="B68" s="186" t="s">
        <v>1068</v>
      </c>
      <c r="C68" s="118" t="s">
        <v>1105</v>
      </c>
      <c r="D68" s="88"/>
      <c r="E68" s="88"/>
      <c r="F68" s="88"/>
      <c r="G68" s="88"/>
      <c r="H68" s="88"/>
      <c r="I68" s="88"/>
      <c r="J68" s="205">
        <v>2</v>
      </c>
      <c r="K68" s="205"/>
      <c r="L68" s="205"/>
    </row>
    <row r="69" spans="1:12" ht="14.45" customHeight="1" x14ac:dyDescent="0.2">
      <c r="A69" s="88"/>
      <c r="B69" s="88"/>
      <c r="C69" s="88" t="s">
        <v>971</v>
      </c>
      <c r="D69" s="88" t="s">
        <v>289</v>
      </c>
      <c r="E69" s="88" t="s">
        <v>972</v>
      </c>
      <c r="F69" s="88" t="s">
        <v>289</v>
      </c>
      <c r="G69" s="88"/>
      <c r="H69" s="88" t="s">
        <v>968</v>
      </c>
      <c r="I69" s="88" t="s">
        <v>969</v>
      </c>
      <c r="J69" s="88" t="s">
        <v>970</v>
      </c>
      <c r="K69" s="88" t="s">
        <v>970</v>
      </c>
      <c r="L69" s="88" t="s">
        <v>970</v>
      </c>
    </row>
    <row r="70" spans="1:12" ht="14.45" customHeight="1" x14ac:dyDescent="0.25">
      <c r="A70" s="186" t="s">
        <v>1103</v>
      </c>
      <c r="B70" s="186"/>
      <c r="C70" s="194" t="s">
        <v>1188</v>
      </c>
      <c r="D70" s="195" t="s">
        <v>68</v>
      </c>
      <c r="E70" s="195" t="s">
        <v>1191</v>
      </c>
      <c r="F70" s="195" t="s">
        <v>290</v>
      </c>
      <c r="G70" s="195"/>
      <c r="H70" s="195">
        <v>15</v>
      </c>
      <c r="I70" s="193" t="s">
        <v>294</v>
      </c>
      <c r="J70" s="195" t="s">
        <v>1059</v>
      </c>
      <c r="K70" s="193"/>
      <c r="L70" s="193"/>
    </row>
    <row r="71" spans="1:12" ht="14.45" customHeight="1" x14ac:dyDescent="0.25">
      <c r="A71" s="186" t="s">
        <v>1104</v>
      </c>
      <c r="B71" s="186"/>
      <c r="C71" s="194" t="s">
        <v>1191</v>
      </c>
      <c r="D71" s="195" t="s">
        <v>290</v>
      </c>
      <c r="E71" s="195" t="s">
        <v>1428</v>
      </c>
      <c r="F71" s="195" t="s">
        <v>68</v>
      </c>
      <c r="G71" s="195" t="s">
        <v>1452</v>
      </c>
      <c r="H71" s="197"/>
      <c r="I71" s="193" t="s">
        <v>296</v>
      </c>
      <c r="J71" s="193"/>
      <c r="K71" s="193"/>
      <c r="L71" s="193"/>
    </row>
    <row r="73" spans="1:12" ht="14.45" customHeight="1" x14ac:dyDescent="0.25">
      <c r="A73" s="186" t="s">
        <v>1427</v>
      </c>
      <c r="B73" s="186" t="s">
        <v>1068</v>
      </c>
      <c r="C73" s="118" t="s">
        <v>1105</v>
      </c>
      <c r="D73" s="88"/>
      <c r="E73" s="88"/>
      <c r="F73" s="88"/>
      <c r="G73" s="88"/>
      <c r="H73" s="88"/>
      <c r="I73" s="88"/>
      <c r="J73" s="205">
        <v>2</v>
      </c>
      <c r="K73" s="205"/>
      <c r="L73" s="205"/>
    </row>
    <row r="74" spans="1:12" ht="14.45" customHeight="1" x14ac:dyDescent="0.2">
      <c r="A74" s="88"/>
      <c r="B74" s="88"/>
      <c r="C74" s="88" t="s">
        <v>971</v>
      </c>
      <c r="D74" s="88" t="s">
        <v>289</v>
      </c>
      <c r="E74" s="88" t="s">
        <v>972</v>
      </c>
      <c r="F74" s="88" t="s">
        <v>289</v>
      </c>
      <c r="G74" s="88"/>
      <c r="H74" s="88" t="s">
        <v>968</v>
      </c>
      <c r="I74" s="88" t="s">
        <v>969</v>
      </c>
      <c r="J74" s="88" t="s">
        <v>970</v>
      </c>
      <c r="K74" s="88" t="s">
        <v>970</v>
      </c>
      <c r="L74" s="88" t="s">
        <v>970</v>
      </c>
    </row>
    <row r="75" spans="1:12" ht="14.45" customHeight="1" x14ac:dyDescent="0.25">
      <c r="A75" s="186" t="s">
        <v>1449</v>
      </c>
      <c r="B75" s="186"/>
      <c r="C75" s="195" t="s">
        <v>1428</v>
      </c>
      <c r="D75" s="195" t="s">
        <v>68</v>
      </c>
      <c r="E75" s="196" t="s">
        <v>1451</v>
      </c>
      <c r="F75" s="195" t="s">
        <v>290</v>
      </c>
      <c r="G75" s="196" t="s">
        <v>1192</v>
      </c>
      <c r="H75" s="197"/>
      <c r="I75" s="193" t="s">
        <v>295</v>
      </c>
      <c r="J75" s="195" t="s">
        <v>1059</v>
      </c>
      <c r="K75" s="193"/>
      <c r="L75" s="193"/>
    </row>
    <row r="76" spans="1:12" ht="14.45" customHeight="1" collapsed="1" x14ac:dyDescent="0.25">
      <c r="A76" s="186" t="s">
        <v>1450</v>
      </c>
      <c r="B76" s="186"/>
      <c r="C76" s="196" t="s">
        <v>1451</v>
      </c>
      <c r="D76" s="195" t="s">
        <v>290</v>
      </c>
      <c r="E76" s="195" t="s">
        <v>1193</v>
      </c>
      <c r="F76" s="195" t="s">
        <v>22</v>
      </c>
      <c r="G76" s="195"/>
      <c r="H76" s="195">
        <v>16</v>
      </c>
      <c r="I76" s="206" t="s">
        <v>294</v>
      </c>
      <c r="J76" s="195" t="s">
        <v>1059</v>
      </c>
      <c r="K76" s="195" t="s">
        <v>1194</v>
      </c>
      <c r="L76" s="193"/>
    </row>
    <row r="77" spans="1:12" ht="14.45" customHeight="1" x14ac:dyDescent="0.25">
      <c r="A77" s="187" t="s">
        <v>456</v>
      </c>
      <c r="B77" s="187"/>
      <c r="C77" s="195" t="s">
        <v>1193</v>
      </c>
      <c r="D77" s="195" t="s">
        <v>22</v>
      </c>
      <c r="E77" s="203" t="s">
        <v>1193</v>
      </c>
      <c r="F77" s="203" t="s">
        <v>290</v>
      </c>
      <c r="G77" s="203"/>
      <c r="H77" s="203">
        <v>17</v>
      </c>
      <c r="I77" s="19" t="s">
        <v>294</v>
      </c>
      <c r="J77" s="195" t="s">
        <v>1195</v>
      </c>
      <c r="K77" s="193"/>
      <c r="L77" s="193"/>
    </row>
    <row r="78" spans="1:12" ht="14.45" customHeight="1" x14ac:dyDescent="0.25">
      <c r="A78" s="204" t="s">
        <v>457</v>
      </c>
      <c r="B78" s="204"/>
      <c r="C78" s="195" t="s">
        <v>1193</v>
      </c>
      <c r="D78" s="195" t="s">
        <v>290</v>
      </c>
      <c r="E78" s="195" t="s">
        <v>1193</v>
      </c>
      <c r="F78" s="195" t="s">
        <v>22</v>
      </c>
      <c r="G78" s="195"/>
      <c r="H78" s="195">
        <v>18</v>
      </c>
      <c r="I78" s="193" t="s">
        <v>295</v>
      </c>
      <c r="J78" s="195" t="s">
        <v>1194</v>
      </c>
      <c r="K78" s="193"/>
      <c r="L78" s="193"/>
    </row>
    <row r="80" spans="1:12" ht="14.45" customHeight="1" x14ac:dyDescent="0.25">
      <c r="A80" s="186" t="s">
        <v>1166</v>
      </c>
      <c r="B80" s="186" t="s">
        <v>1068</v>
      </c>
      <c r="C80" s="118" t="s">
        <v>1190</v>
      </c>
      <c r="D80" s="88"/>
      <c r="E80" s="88"/>
      <c r="F80" s="88"/>
      <c r="G80" s="88"/>
      <c r="H80" s="88"/>
      <c r="I80" s="88"/>
      <c r="J80" s="205">
        <v>3</v>
      </c>
      <c r="K80" s="205"/>
      <c r="L80" s="205"/>
    </row>
    <row r="81" spans="1:16" ht="14.45" customHeight="1" x14ac:dyDescent="0.2">
      <c r="A81" s="88"/>
      <c r="B81" s="88"/>
      <c r="C81" s="88" t="s">
        <v>971</v>
      </c>
      <c r="D81" s="88" t="s">
        <v>289</v>
      </c>
      <c r="E81" s="88" t="s">
        <v>972</v>
      </c>
      <c r="F81" s="88" t="s">
        <v>289</v>
      </c>
      <c r="G81" s="88"/>
      <c r="H81" s="88" t="s">
        <v>968</v>
      </c>
      <c r="I81" s="88" t="s">
        <v>969</v>
      </c>
      <c r="J81" s="88" t="s">
        <v>970</v>
      </c>
      <c r="K81" s="88" t="s">
        <v>970</v>
      </c>
      <c r="L81" s="88" t="s">
        <v>970</v>
      </c>
    </row>
    <row r="82" spans="1:16" ht="14.45" customHeight="1" x14ac:dyDescent="0.25">
      <c r="A82" s="186" t="s">
        <v>1167</v>
      </c>
      <c r="B82" s="186"/>
      <c r="C82" s="208" t="s">
        <v>1193</v>
      </c>
      <c r="D82" s="192" t="s">
        <v>22</v>
      </c>
      <c r="E82" s="192" t="s">
        <v>1196</v>
      </c>
      <c r="F82" s="192" t="s">
        <v>290</v>
      </c>
      <c r="G82" s="192"/>
      <c r="H82" s="210"/>
      <c r="I82" s="193" t="s">
        <v>297</v>
      </c>
      <c r="J82" s="193"/>
      <c r="K82" s="193"/>
      <c r="L82" s="193"/>
    </row>
    <row r="83" spans="1:16" ht="14.45" customHeight="1" x14ac:dyDescent="0.25">
      <c r="A83" s="186" t="s">
        <v>1168</v>
      </c>
      <c r="B83" s="186"/>
      <c r="C83" s="208" t="s">
        <v>1196</v>
      </c>
      <c r="D83" s="192" t="s">
        <v>290</v>
      </c>
      <c r="E83" s="211" t="s">
        <v>1208</v>
      </c>
      <c r="F83" s="192" t="s">
        <v>290</v>
      </c>
      <c r="G83" s="211" t="s">
        <v>1197</v>
      </c>
      <c r="H83" s="210"/>
      <c r="I83" s="193" t="s">
        <v>295</v>
      </c>
      <c r="J83" s="192" t="s">
        <v>1194</v>
      </c>
      <c r="K83" s="193"/>
      <c r="L83" s="193"/>
    </row>
    <row r="84" spans="1:16" ht="14.45" customHeight="1" collapsed="1" x14ac:dyDescent="0.25">
      <c r="A84" s="186" t="s">
        <v>1198</v>
      </c>
      <c r="B84" s="186"/>
      <c r="C84" s="208" t="s">
        <v>1208</v>
      </c>
      <c r="D84" s="192" t="s">
        <v>290</v>
      </c>
      <c r="E84" s="192" t="s">
        <v>133</v>
      </c>
      <c r="F84" s="192" t="s">
        <v>290</v>
      </c>
      <c r="G84" s="192"/>
      <c r="H84" s="192">
        <v>19</v>
      </c>
      <c r="I84" s="193" t="s">
        <v>78</v>
      </c>
      <c r="J84" s="193"/>
      <c r="K84" s="193"/>
      <c r="L84" s="193"/>
    </row>
    <row r="85" spans="1:16" ht="14.45" customHeight="1" x14ac:dyDescent="0.25">
      <c r="A85" s="186" t="s">
        <v>1199</v>
      </c>
      <c r="B85" s="186"/>
      <c r="C85" s="208" t="s">
        <v>133</v>
      </c>
      <c r="D85" s="192" t="s">
        <v>290</v>
      </c>
      <c r="E85" s="192" t="s">
        <v>1209</v>
      </c>
      <c r="F85" s="192" t="s">
        <v>290</v>
      </c>
      <c r="G85" s="192"/>
      <c r="H85" s="192">
        <v>20</v>
      </c>
      <c r="I85" s="193" t="s">
        <v>294</v>
      </c>
      <c r="J85" s="192" t="s">
        <v>1200</v>
      </c>
      <c r="K85" s="193"/>
      <c r="L85" s="193"/>
    </row>
    <row r="86" spans="1:16" ht="14.45" customHeight="1" x14ac:dyDescent="0.25">
      <c r="A86" s="186" t="s">
        <v>1201</v>
      </c>
      <c r="B86" s="186"/>
      <c r="C86" s="208" t="s">
        <v>1209</v>
      </c>
      <c r="D86" s="192" t="s">
        <v>290</v>
      </c>
      <c r="E86" s="211" t="s">
        <v>1210</v>
      </c>
      <c r="F86" s="192" t="s">
        <v>22</v>
      </c>
      <c r="G86" s="211" t="s">
        <v>1202</v>
      </c>
      <c r="H86" s="210"/>
      <c r="I86" s="193" t="s">
        <v>295</v>
      </c>
      <c r="J86" s="192" t="s">
        <v>1200</v>
      </c>
      <c r="K86" s="193"/>
      <c r="L86" s="193"/>
    </row>
    <row r="87" spans="1:16" ht="14.45" customHeight="1" x14ac:dyDescent="0.25">
      <c r="A87" s="186" t="s">
        <v>1203</v>
      </c>
      <c r="B87" s="186"/>
      <c r="C87" s="208" t="s">
        <v>1210</v>
      </c>
      <c r="D87" s="192" t="s">
        <v>290</v>
      </c>
      <c r="E87" s="192" t="s">
        <v>1209</v>
      </c>
      <c r="F87" s="192" t="s">
        <v>22</v>
      </c>
      <c r="G87" s="192"/>
      <c r="H87" s="192">
        <v>21</v>
      </c>
      <c r="I87" s="193" t="s">
        <v>294</v>
      </c>
      <c r="J87" s="192" t="s">
        <v>1200</v>
      </c>
      <c r="K87" s="192" t="s">
        <v>1204</v>
      </c>
      <c r="L87" s="193"/>
    </row>
    <row r="88" spans="1:16" ht="14.45" customHeight="1" x14ac:dyDescent="0.25">
      <c r="A88" s="186" t="s">
        <v>1205</v>
      </c>
      <c r="B88" s="186"/>
      <c r="C88" s="208" t="s">
        <v>1209</v>
      </c>
      <c r="D88" s="192" t="s">
        <v>22</v>
      </c>
      <c r="E88" s="211" t="s">
        <v>1211</v>
      </c>
      <c r="F88" s="192" t="s">
        <v>290</v>
      </c>
      <c r="G88" s="211" t="s">
        <v>1207</v>
      </c>
      <c r="H88" s="210"/>
      <c r="I88" s="193" t="s">
        <v>295</v>
      </c>
      <c r="J88" s="192" t="s">
        <v>1204</v>
      </c>
      <c r="K88" s="193"/>
      <c r="L88" s="193"/>
    </row>
    <row r="90" spans="1:16" ht="15" x14ac:dyDescent="0.25">
      <c r="A90" s="186" t="s">
        <v>1212</v>
      </c>
      <c r="B90" s="186" t="s">
        <v>1068</v>
      </c>
      <c r="C90" s="118" t="s">
        <v>1213</v>
      </c>
      <c r="D90" s="88"/>
      <c r="E90" s="88"/>
      <c r="F90" s="88"/>
      <c r="G90" s="88"/>
      <c r="H90" s="88"/>
      <c r="I90" s="88"/>
      <c r="J90" s="205">
        <v>4</v>
      </c>
      <c r="K90" s="88"/>
      <c r="L90" s="88"/>
      <c r="M90" s="212"/>
      <c r="N90" s="212"/>
      <c r="P90" s="212"/>
    </row>
    <row r="91" spans="1:16" ht="12.75" x14ac:dyDescent="0.2">
      <c r="A91" s="209"/>
      <c r="B91" s="209"/>
      <c r="C91" s="209" t="s">
        <v>971</v>
      </c>
      <c r="D91" s="209" t="s">
        <v>289</v>
      </c>
      <c r="E91" s="209" t="s">
        <v>972</v>
      </c>
      <c r="F91" s="209" t="s">
        <v>289</v>
      </c>
      <c r="G91" s="209"/>
      <c r="H91" s="209" t="s">
        <v>968</v>
      </c>
      <c r="I91" s="209" t="s">
        <v>969</v>
      </c>
      <c r="J91" s="209" t="s">
        <v>970</v>
      </c>
      <c r="K91" s="209" t="s">
        <v>970</v>
      </c>
      <c r="L91" s="209" t="s">
        <v>970</v>
      </c>
    </row>
    <row r="92" spans="1:16" ht="15" x14ac:dyDescent="0.25">
      <c r="A92" s="186" t="s">
        <v>1214</v>
      </c>
      <c r="B92" s="186"/>
      <c r="C92" s="208" t="s">
        <v>1206</v>
      </c>
      <c r="D92" s="192" t="s">
        <v>290</v>
      </c>
      <c r="E92" s="192" t="s">
        <v>1215</v>
      </c>
      <c r="F92" s="192" t="s">
        <v>290</v>
      </c>
      <c r="G92" s="192"/>
      <c r="H92" s="210"/>
      <c r="I92" s="193" t="s">
        <v>297</v>
      </c>
      <c r="J92" s="193"/>
      <c r="K92" s="193"/>
      <c r="L92" s="193"/>
    </row>
    <row r="93" spans="1:16" ht="15" x14ac:dyDescent="0.25">
      <c r="A93" s="186" t="s">
        <v>1216</v>
      </c>
      <c r="B93" s="186"/>
      <c r="C93" s="208" t="s">
        <v>1215</v>
      </c>
      <c r="D93" s="192" t="s">
        <v>290</v>
      </c>
      <c r="E93" s="192" t="s">
        <v>1219</v>
      </c>
      <c r="F93" s="192" t="s">
        <v>290</v>
      </c>
      <c r="G93" s="192"/>
      <c r="H93" s="192">
        <v>22</v>
      </c>
      <c r="I93" s="193" t="s">
        <v>294</v>
      </c>
      <c r="J93" s="192" t="s">
        <v>1204</v>
      </c>
      <c r="K93" s="193"/>
      <c r="L93" s="193"/>
    </row>
    <row r="94" spans="1:16" ht="15" x14ac:dyDescent="0.25">
      <c r="A94" s="204" t="s">
        <v>1220</v>
      </c>
      <c r="B94" s="204"/>
      <c r="C94" s="192" t="s">
        <v>1219</v>
      </c>
      <c r="D94" s="192" t="s">
        <v>290</v>
      </c>
      <c r="E94" s="195" t="s">
        <v>1221</v>
      </c>
      <c r="F94" s="195" t="s">
        <v>68</v>
      </c>
      <c r="G94" s="195"/>
      <c r="H94" s="197"/>
      <c r="I94" s="193" t="s">
        <v>296</v>
      </c>
      <c r="J94" s="193"/>
      <c r="K94" s="193"/>
      <c r="L94" s="193"/>
    </row>
    <row r="96" spans="1:16" ht="15" x14ac:dyDescent="0.25">
      <c r="A96" s="186" t="s">
        <v>1217</v>
      </c>
      <c r="B96" s="186" t="s">
        <v>1068</v>
      </c>
      <c r="C96" s="118" t="s">
        <v>1213</v>
      </c>
      <c r="D96" s="88"/>
      <c r="E96" s="88"/>
      <c r="F96" s="88"/>
      <c r="G96" s="88"/>
      <c r="H96" s="88"/>
      <c r="I96" s="88"/>
      <c r="J96" s="205">
        <v>4</v>
      </c>
      <c r="K96" s="88"/>
      <c r="L96" s="88"/>
      <c r="M96" s="212"/>
      <c r="N96" s="212"/>
      <c r="P96" s="212"/>
    </row>
    <row r="97" spans="1:16" ht="12.75" x14ac:dyDescent="0.2">
      <c r="A97" s="209"/>
      <c r="B97" s="209"/>
      <c r="C97" s="209" t="s">
        <v>971</v>
      </c>
      <c r="D97" s="209" t="s">
        <v>289</v>
      </c>
      <c r="E97" s="209" t="s">
        <v>972</v>
      </c>
      <c r="F97" s="209" t="s">
        <v>289</v>
      </c>
      <c r="G97" s="209"/>
      <c r="H97" s="209" t="s">
        <v>968</v>
      </c>
      <c r="I97" s="209" t="s">
        <v>969</v>
      </c>
      <c r="J97" s="209" t="s">
        <v>970</v>
      </c>
      <c r="K97" s="209" t="s">
        <v>970</v>
      </c>
      <c r="L97" s="209" t="s">
        <v>970</v>
      </c>
    </row>
    <row r="98" spans="1:16" ht="15" x14ac:dyDescent="0.25">
      <c r="A98" s="186" t="s">
        <v>1218</v>
      </c>
      <c r="B98" s="204"/>
      <c r="C98" s="195" t="s">
        <v>1221</v>
      </c>
      <c r="D98" s="195" t="s">
        <v>68</v>
      </c>
      <c r="E98" s="211" t="s">
        <v>1222</v>
      </c>
      <c r="F98" s="192" t="s">
        <v>290</v>
      </c>
      <c r="G98" s="192" t="s">
        <v>1223</v>
      </c>
      <c r="H98" s="210"/>
      <c r="I98" s="193" t="s">
        <v>297</v>
      </c>
      <c r="J98" s="192" t="s">
        <v>1204</v>
      </c>
      <c r="K98" s="193"/>
      <c r="L98" s="193"/>
    </row>
    <row r="100" spans="1:16" ht="15" x14ac:dyDescent="0.25">
      <c r="A100" s="186" t="s">
        <v>1441</v>
      </c>
      <c r="B100" s="186" t="s">
        <v>1068</v>
      </c>
      <c r="C100" s="118" t="s">
        <v>1453</v>
      </c>
      <c r="D100" s="88"/>
      <c r="E100" s="88"/>
      <c r="F100" s="88"/>
      <c r="G100" s="88"/>
      <c r="H100" s="88"/>
      <c r="I100" s="88"/>
      <c r="J100" s="205">
        <v>3</v>
      </c>
      <c r="K100" s="88"/>
      <c r="L100" s="88"/>
      <c r="M100" s="212"/>
      <c r="N100" s="212"/>
      <c r="P100" s="212"/>
    </row>
    <row r="101" spans="1:16" ht="12.75" x14ac:dyDescent="0.2">
      <c r="A101" s="209"/>
      <c r="B101" s="209"/>
      <c r="C101" s="209" t="s">
        <v>971</v>
      </c>
      <c r="D101" s="209" t="s">
        <v>289</v>
      </c>
      <c r="E101" s="209" t="s">
        <v>972</v>
      </c>
      <c r="F101" s="209" t="s">
        <v>289</v>
      </c>
      <c r="G101" s="209"/>
      <c r="H101" s="209" t="s">
        <v>968</v>
      </c>
      <c r="I101" s="209" t="s">
        <v>969</v>
      </c>
      <c r="J101" s="209" t="s">
        <v>970</v>
      </c>
      <c r="K101" s="209" t="s">
        <v>970</v>
      </c>
      <c r="L101" s="209" t="s">
        <v>970</v>
      </c>
    </row>
    <row r="102" spans="1:16" ht="15" x14ac:dyDescent="0.25">
      <c r="A102" s="186" t="s">
        <v>1454</v>
      </c>
      <c r="B102" s="204"/>
      <c r="C102" s="195" t="s">
        <v>1455</v>
      </c>
      <c r="D102" s="195" t="s">
        <v>290</v>
      </c>
      <c r="E102" s="195" t="s">
        <v>1455</v>
      </c>
      <c r="F102" s="192" t="s">
        <v>22</v>
      </c>
      <c r="G102" s="192"/>
      <c r="H102" s="192">
        <v>23</v>
      </c>
      <c r="I102" s="193" t="s">
        <v>294</v>
      </c>
      <c r="J102" s="192" t="s">
        <v>1195</v>
      </c>
      <c r="K102" s="193"/>
      <c r="L102" s="193"/>
    </row>
    <row r="103" spans="1:16" ht="15" x14ac:dyDescent="0.25">
      <c r="A103" s="186" t="s">
        <v>1456</v>
      </c>
      <c r="B103" s="204"/>
      <c r="C103" s="195" t="s">
        <v>1455</v>
      </c>
      <c r="D103" s="195" t="s">
        <v>22</v>
      </c>
      <c r="E103" s="211" t="s">
        <v>1457</v>
      </c>
      <c r="F103" s="192" t="s">
        <v>290</v>
      </c>
      <c r="G103" s="192" t="s">
        <v>1458</v>
      </c>
      <c r="H103" s="210"/>
      <c r="I103" s="193" t="s">
        <v>294</v>
      </c>
      <c r="J103" s="192" t="s">
        <v>1195</v>
      </c>
      <c r="K103" s="193"/>
      <c r="L103" s="193"/>
    </row>
    <row r="104" spans="1:16" ht="15" x14ac:dyDescent="0.25">
      <c r="A104" s="186" t="s">
        <v>1459</v>
      </c>
      <c r="B104" s="204"/>
      <c r="C104" s="211" t="s">
        <v>1457</v>
      </c>
      <c r="D104" s="192" t="s">
        <v>290</v>
      </c>
      <c r="E104" s="195" t="s">
        <v>133</v>
      </c>
      <c r="F104" s="192" t="s">
        <v>290</v>
      </c>
      <c r="G104" s="192"/>
      <c r="H104" s="192">
        <v>24</v>
      </c>
      <c r="I104" s="193" t="s">
        <v>78</v>
      </c>
      <c r="J104" s="193"/>
      <c r="K104" s="193"/>
      <c r="L104" s="193"/>
    </row>
    <row r="105" spans="1:16" ht="15" x14ac:dyDescent="0.25">
      <c r="A105" s="186" t="s">
        <v>1460</v>
      </c>
      <c r="B105" s="204"/>
      <c r="C105" s="195" t="s">
        <v>133</v>
      </c>
      <c r="D105" s="192" t="s">
        <v>290</v>
      </c>
      <c r="E105" s="195" t="s">
        <v>1461</v>
      </c>
      <c r="F105" s="192" t="s">
        <v>290</v>
      </c>
      <c r="G105" s="192"/>
      <c r="H105" s="211">
        <v>25</v>
      </c>
      <c r="I105" s="193" t="s">
        <v>294</v>
      </c>
      <c r="J105" s="192" t="s">
        <v>1200</v>
      </c>
      <c r="K105" s="192" t="s">
        <v>1204</v>
      </c>
      <c r="L105" s="193"/>
    </row>
    <row r="106" spans="1:16" ht="15" x14ac:dyDescent="0.25">
      <c r="A106" s="186" t="s">
        <v>1469</v>
      </c>
      <c r="B106" s="204"/>
      <c r="C106" s="195" t="s">
        <v>1461</v>
      </c>
      <c r="D106" s="192" t="s">
        <v>290</v>
      </c>
      <c r="E106" s="195" t="s">
        <v>1461</v>
      </c>
      <c r="F106" s="192" t="s">
        <v>22</v>
      </c>
      <c r="G106" s="192"/>
      <c r="H106" s="192">
        <v>26</v>
      </c>
      <c r="I106" s="193" t="s">
        <v>294</v>
      </c>
      <c r="J106" s="192" t="s">
        <v>1200</v>
      </c>
      <c r="K106" s="192" t="s">
        <v>1204</v>
      </c>
      <c r="L106" s="193"/>
    </row>
    <row r="108" spans="1:16" ht="15" x14ac:dyDescent="0.25">
      <c r="A108" s="186" t="s">
        <v>1442</v>
      </c>
      <c r="B108" s="186" t="s">
        <v>1068</v>
      </c>
      <c r="C108" s="118" t="s">
        <v>1453</v>
      </c>
      <c r="D108" s="88"/>
      <c r="E108" s="88"/>
      <c r="F108" s="88"/>
      <c r="G108" s="88"/>
      <c r="H108" s="88"/>
      <c r="I108" s="88"/>
      <c r="J108" s="205">
        <v>4</v>
      </c>
      <c r="K108" s="88"/>
      <c r="L108" s="88"/>
      <c r="M108" s="212"/>
      <c r="N108" s="212"/>
      <c r="P108" s="212"/>
    </row>
    <row r="109" spans="1:16" ht="12.75" x14ac:dyDescent="0.2">
      <c r="A109" s="209"/>
      <c r="B109" s="209"/>
      <c r="C109" s="209" t="s">
        <v>971</v>
      </c>
      <c r="D109" s="209" t="s">
        <v>289</v>
      </c>
      <c r="E109" s="209" t="s">
        <v>972</v>
      </c>
      <c r="F109" s="209" t="s">
        <v>289</v>
      </c>
      <c r="G109" s="209"/>
      <c r="H109" s="209" t="s">
        <v>968</v>
      </c>
      <c r="I109" s="209" t="s">
        <v>969</v>
      </c>
      <c r="J109" s="209" t="s">
        <v>970</v>
      </c>
      <c r="K109" s="209" t="s">
        <v>970</v>
      </c>
      <c r="L109" s="209" t="s">
        <v>970</v>
      </c>
    </row>
    <row r="110" spans="1:16" ht="15" x14ac:dyDescent="0.25">
      <c r="A110" s="186" t="s">
        <v>1462</v>
      </c>
      <c r="B110" s="204"/>
      <c r="C110" s="195" t="s">
        <v>1461</v>
      </c>
      <c r="D110" s="192" t="s">
        <v>22</v>
      </c>
      <c r="E110" s="195" t="s">
        <v>1219</v>
      </c>
      <c r="F110" s="192" t="s">
        <v>290</v>
      </c>
      <c r="G110" s="192"/>
      <c r="H110" s="192">
        <v>27</v>
      </c>
      <c r="I110" s="193" t="s">
        <v>294</v>
      </c>
      <c r="J110" s="192" t="s">
        <v>1204</v>
      </c>
      <c r="K110" s="193"/>
      <c r="L110" s="193"/>
    </row>
    <row r="111" spans="1:16" ht="15" x14ac:dyDescent="0.25">
      <c r="A111" s="186" t="s">
        <v>1463</v>
      </c>
      <c r="B111" s="204"/>
      <c r="C111" s="195" t="s">
        <v>1219</v>
      </c>
      <c r="D111" s="195" t="s">
        <v>290</v>
      </c>
      <c r="E111" s="211" t="s">
        <v>1464</v>
      </c>
      <c r="F111" s="192" t="s">
        <v>68</v>
      </c>
      <c r="G111" s="192"/>
      <c r="H111" s="210"/>
      <c r="I111" s="193" t="s">
        <v>296</v>
      </c>
      <c r="J111" s="193"/>
      <c r="K111" s="193"/>
      <c r="L111" s="193"/>
    </row>
    <row r="113" spans="1:16" ht="15" x14ac:dyDescent="0.25">
      <c r="A113" s="186" t="s">
        <v>1465</v>
      </c>
      <c r="B113" s="186" t="s">
        <v>1068</v>
      </c>
      <c r="C113" s="118" t="s">
        <v>1453</v>
      </c>
      <c r="D113" s="88"/>
      <c r="E113" s="88"/>
      <c r="F113" s="88"/>
      <c r="G113" s="88"/>
      <c r="H113" s="88"/>
      <c r="I113" s="88"/>
      <c r="J113" s="205">
        <v>4</v>
      </c>
      <c r="K113" s="88"/>
      <c r="L113" s="88"/>
      <c r="M113" s="212"/>
      <c r="N113" s="212"/>
      <c r="P113" s="212"/>
    </row>
    <row r="114" spans="1:16" ht="12.75" x14ac:dyDescent="0.2">
      <c r="A114" s="209"/>
      <c r="B114" s="209"/>
      <c r="C114" s="209" t="s">
        <v>971</v>
      </c>
      <c r="D114" s="209" t="s">
        <v>289</v>
      </c>
      <c r="E114" s="209" t="s">
        <v>972</v>
      </c>
      <c r="F114" s="209" t="s">
        <v>289</v>
      </c>
      <c r="G114" s="209"/>
      <c r="H114" s="209" t="s">
        <v>968</v>
      </c>
      <c r="I114" s="209" t="s">
        <v>969</v>
      </c>
      <c r="J114" s="209" t="s">
        <v>970</v>
      </c>
      <c r="K114" s="209" t="s">
        <v>970</v>
      </c>
      <c r="L114" s="209" t="s">
        <v>970</v>
      </c>
    </row>
    <row r="115" spans="1:16" ht="15" x14ac:dyDescent="0.25">
      <c r="A115" s="186" t="s">
        <v>1466</v>
      </c>
      <c r="B115" s="204"/>
      <c r="C115" s="195" t="s">
        <v>1464</v>
      </c>
      <c r="D115" s="195" t="s">
        <v>68</v>
      </c>
      <c r="E115" s="192" t="s">
        <v>1219</v>
      </c>
      <c r="F115" s="192" t="s">
        <v>22</v>
      </c>
      <c r="G115" s="192"/>
      <c r="H115" s="192">
        <v>28</v>
      </c>
      <c r="I115" s="206" t="s">
        <v>294</v>
      </c>
      <c r="J115" s="192" t="s">
        <v>1204</v>
      </c>
      <c r="K115" s="193"/>
      <c r="L115" s="193"/>
    </row>
    <row r="116" spans="1:16" ht="15" x14ac:dyDescent="0.25">
      <c r="A116" s="186" t="s">
        <v>1467</v>
      </c>
      <c r="B116" s="204"/>
      <c r="C116" s="192" t="s">
        <v>1219</v>
      </c>
      <c r="D116" s="192" t="s">
        <v>22</v>
      </c>
      <c r="E116" s="211" t="s">
        <v>1468</v>
      </c>
      <c r="F116" s="192" t="s">
        <v>290</v>
      </c>
      <c r="G116" s="192" t="s">
        <v>1223</v>
      </c>
      <c r="H116" s="210"/>
      <c r="I116" s="193" t="s">
        <v>297</v>
      </c>
      <c r="J116" s="192" t="s">
        <v>1204</v>
      </c>
      <c r="K116" s="193"/>
      <c r="L116" s="193"/>
    </row>
    <row r="117" spans="1:16" ht="14.45" customHeight="1" x14ac:dyDescent="0.25">
      <c r="A117" s="232" t="s">
        <v>1609</v>
      </c>
    </row>
    <row r="118" spans="1:16" ht="14.45" customHeight="1" x14ac:dyDescent="0.25">
      <c r="A118" s="186" t="s">
        <v>1601</v>
      </c>
      <c r="B118" s="227"/>
      <c r="C118" s="118" t="s">
        <v>1606</v>
      </c>
      <c r="D118" s="210"/>
      <c r="E118" s="228"/>
      <c r="F118" s="228"/>
      <c r="G118" s="228"/>
      <c r="H118" s="228"/>
      <c r="I118" s="228"/>
      <c r="J118" s="205"/>
      <c r="K118" s="228"/>
      <c r="L118" s="228"/>
    </row>
    <row r="119" spans="1:16" ht="14.45" customHeight="1" x14ac:dyDescent="0.2">
      <c r="A119" s="229"/>
      <c r="B119" s="229"/>
      <c r="C119" s="229" t="s">
        <v>971</v>
      </c>
      <c r="D119" s="229" t="s">
        <v>289</v>
      </c>
      <c r="E119" s="229" t="s">
        <v>972</v>
      </c>
      <c r="F119" s="229" t="s">
        <v>289</v>
      </c>
      <c r="G119" s="229"/>
      <c r="H119" s="229" t="s">
        <v>1598</v>
      </c>
      <c r="I119" s="229"/>
      <c r="J119" s="229" t="s">
        <v>970</v>
      </c>
      <c r="K119" s="229" t="s">
        <v>970</v>
      </c>
      <c r="L119" s="229" t="s">
        <v>970</v>
      </c>
    </row>
    <row r="120" spans="1:16" ht="14.45" customHeight="1" x14ac:dyDescent="0.25">
      <c r="A120" s="186" t="s">
        <v>1602</v>
      </c>
      <c r="B120" s="186"/>
      <c r="C120" s="208" t="s">
        <v>1607</v>
      </c>
      <c r="D120" s="192" t="s">
        <v>290</v>
      </c>
      <c r="E120" s="192" t="s">
        <v>1599</v>
      </c>
      <c r="F120" s="192" t="s">
        <v>290</v>
      </c>
      <c r="G120" s="211"/>
      <c r="H120" s="210"/>
      <c r="I120" s="230"/>
      <c r="J120" s="230" t="s">
        <v>1200</v>
      </c>
      <c r="K120" s="193" t="s">
        <v>1204</v>
      </c>
      <c r="L120" s="230"/>
    </row>
    <row r="121" spans="1:16" ht="14.45" customHeight="1" x14ac:dyDescent="0.25">
      <c r="A121" s="186" t="s">
        <v>1603</v>
      </c>
      <c r="B121" s="186"/>
      <c r="C121" s="208" t="s">
        <v>1599</v>
      </c>
      <c r="D121" s="192" t="s">
        <v>290</v>
      </c>
      <c r="E121" s="192" t="s">
        <v>1219</v>
      </c>
      <c r="F121" s="192" t="s">
        <v>290</v>
      </c>
      <c r="G121" s="211" t="s">
        <v>1610</v>
      </c>
      <c r="H121" s="210">
        <v>29</v>
      </c>
      <c r="I121" s="206" t="s">
        <v>1600</v>
      </c>
      <c r="J121" s="230" t="s">
        <v>1200</v>
      </c>
      <c r="K121" s="193" t="s">
        <v>1204</v>
      </c>
      <c r="L121" s="230"/>
    </row>
    <row r="122" spans="1:16" ht="14.45" customHeight="1" x14ac:dyDescent="0.25">
      <c r="A122" s="186" t="s">
        <v>1605</v>
      </c>
      <c r="B122" s="186"/>
      <c r="C122" s="208" t="s">
        <v>1219</v>
      </c>
      <c r="D122" s="192" t="s">
        <v>290</v>
      </c>
      <c r="E122" s="211" t="s">
        <v>1604</v>
      </c>
      <c r="F122" s="192" t="s">
        <v>68</v>
      </c>
      <c r="G122" s="211" t="s">
        <v>1608</v>
      </c>
      <c r="H122" s="210"/>
      <c r="I122" s="230"/>
      <c r="J122" s="230"/>
      <c r="K122" s="230"/>
      <c r="L122" s="230"/>
    </row>
    <row r="123" spans="1:16" ht="14.45" customHeight="1" x14ac:dyDescent="0.2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</row>
  </sheetData>
  <pageMargins left="0.7" right="0.7" top="0.75" bottom="0.75" header="0.3" footer="0.3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16"/>
  <sheetViews>
    <sheetView workbookViewId="0">
      <selection activeCell="B5" sqref="B5:B6"/>
    </sheetView>
  </sheetViews>
  <sheetFormatPr defaultRowHeight="12.75" x14ac:dyDescent="0.2"/>
  <cols>
    <col min="1" max="6" width="13.42578125" customWidth="1"/>
    <col min="8" max="11" width="8.85546875" customWidth="1"/>
  </cols>
  <sheetData>
    <row r="1" spans="1:7" x14ac:dyDescent="0.2">
      <c r="A1" t="s">
        <v>823</v>
      </c>
    </row>
    <row r="2" spans="1:7" x14ac:dyDescent="0.2">
      <c r="A2" t="s">
        <v>824</v>
      </c>
      <c r="B2" t="s">
        <v>826</v>
      </c>
      <c r="C2" t="s">
        <v>825</v>
      </c>
      <c r="D2" t="s">
        <v>827</v>
      </c>
    </row>
    <row r="3" spans="1:7" ht="15" x14ac:dyDescent="0.25">
      <c r="A3" s="112">
        <v>1</v>
      </c>
      <c r="B3" s="112">
        <v>15</v>
      </c>
      <c r="C3" s="112">
        <v>29</v>
      </c>
      <c r="D3" s="116">
        <v>43</v>
      </c>
    </row>
    <row r="4" spans="1:7" ht="15" x14ac:dyDescent="0.25">
      <c r="A4" s="112">
        <v>2</v>
      </c>
      <c r="B4" s="112">
        <v>16</v>
      </c>
      <c r="C4" s="112">
        <v>30</v>
      </c>
      <c r="D4" s="116">
        <v>44</v>
      </c>
    </row>
    <row r="5" spans="1:7" ht="15" x14ac:dyDescent="0.25">
      <c r="A5" s="112">
        <v>3</v>
      </c>
      <c r="B5" s="112">
        <v>17</v>
      </c>
      <c r="C5" s="112">
        <v>31</v>
      </c>
      <c r="D5" s="116">
        <v>45</v>
      </c>
    </row>
    <row r="6" spans="1:7" ht="15" x14ac:dyDescent="0.25">
      <c r="A6" s="116">
        <v>4</v>
      </c>
      <c r="B6" s="112">
        <v>18</v>
      </c>
      <c r="C6" s="112">
        <v>32</v>
      </c>
      <c r="D6" s="116">
        <v>46</v>
      </c>
    </row>
    <row r="7" spans="1:7" ht="15" x14ac:dyDescent="0.25">
      <c r="A7" s="116">
        <v>5</v>
      </c>
      <c r="B7" s="116">
        <v>19</v>
      </c>
      <c r="C7" s="112">
        <v>33</v>
      </c>
      <c r="D7" s="116">
        <v>47</v>
      </c>
    </row>
    <row r="8" spans="1:7" ht="15" x14ac:dyDescent="0.25">
      <c r="A8" s="116">
        <v>6</v>
      </c>
      <c r="B8" s="116">
        <v>20</v>
      </c>
      <c r="C8" s="112">
        <v>34</v>
      </c>
      <c r="D8" s="116">
        <v>48</v>
      </c>
    </row>
    <row r="9" spans="1:7" ht="15" x14ac:dyDescent="0.25">
      <c r="A9" s="116">
        <v>7</v>
      </c>
      <c r="B9" s="116">
        <v>21</v>
      </c>
      <c r="C9" s="116">
        <v>35</v>
      </c>
      <c r="D9" s="116">
        <v>49</v>
      </c>
    </row>
    <row r="10" spans="1:7" ht="15" x14ac:dyDescent="0.25">
      <c r="A10" s="116">
        <v>8</v>
      </c>
      <c r="B10" s="116">
        <v>22</v>
      </c>
      <c r="C10" s="116">
        <v>36</v>
      </c>
      <c r="D10" s="116">
        <v>50</v>
      </c>
    </row>
    <row r="11" spans="1:7" ht="15" x14ac:dyDescent="0.25">
      <c r="A11" s="116">
        <v>9</v>
      </c>
      <c r="B11" s="116">
        <v>23</v>
      </c>
      <c r="C11" s="116">
        <v>37</v>
      </c>
      <c r="D11" s="116">
        <v>51</v>
      </c>
    </row>
    <row r="12" spans="1:7" ht="15" x14ac:dyDescent="0.25">
      <c r="A12" s="116">
        <v>10</v>
      </c>
      <c r="B12" s="116">
        <v>24</v>
      </c>
      <c r="C12" s="116">
        <v>38</v>
      </c>
      <c r="D12" s="116">
        <v>52</v>
      </c>
    </row>
    <row r="13" spans="1:7" ht="15" x14ac:dyDescent="0.25">
      <c r="A13" s="116">
        <v>11</v>
      </c>
      <c r="B13" s="116">
        <v>25</v>
      </c>
      <c r="C13" s="116">
        <v>39</v>
      </c>
      <c r="D13" s="116">
        <v>53</v>
      </c>
    </row>
    <row r="14" spans="1:7" ht="15" x14ac:dyDescent="0.25">
      <c r="A14" s="116">
        <v>12</v>
      </c>
      <c r="B14" s="116">
        <v>26</v>
      </c>
      <c r="C14" s="116">
        <v>40</v>
      </c>
      <c r="D14" s="116">
        <v>54</v>
      </c>
      <c r="G14" s="111"/>
    </row>
    <row r="15" spans="1:7" ht="15" x14ac:dyDescent="0.25">
      <c r="A15" s="116">
        <v>13</v>
      </c>
      <c r="B15" s="116">
        <v>27</v>
      </c>
      <c r="C15" s="116">
        <v>41</v>
      </c>
      <c r="D15" s="116">
        <v>55</v>
      </c>
    </row>
    <row r="16" spans="1:7" ht="15" x14ac:dyDescent="0.25">
      <c r="A16" s="116">
        <v>14</v>
      </c>
      <c r="B16" s="116">
        <v>28</v>
      </c>
      <c r="C16" s="116">
        <v>42</v>
      </c>
      <c r="D16" s="116">
        <v>56</v>
      </c>
    </row>
  </sheetData>
  <pageMargins left="0.75" right="0.75" top="1" bottom="1" header="0.5" footer="0.5"/>
  <pageSetup paperSize="9" orientation="portrait" horizontalDpi="4294967293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/>
  </sheetPr>
  <dimension ref="A1:K74"/>
  <sheetViews>
    <sheetView topLeftCell="A25" workbookViewId="0">
      <selection activeCell="A42" sqref="A42:A50"/>
    </sheetView>
  </sheetViews>
  <sheetFormatPr defaultRowHeight="12.75" outlineLevelRow="1" x14ac:dyDescent="0.2"/>
  <cols>
    <col min="1" max="1" width="119.85546875" bestFit="1" customWidth="1"/>
    <col min="3" max="3" width="19.140625" customWidth="1"/>
  </cols>
  <sheetData>
    <row r="1" spans="1:11" x14ac:dyDescent="0.2">
      <c r="A1" t="s">
        <v>325</v>
      </c>
      <c r="C1" t="s">
        <v>327</v>
      </c>
    </row>
    <row r="2" spans="1:11" ht="15" x14ac:dyDescent="0.25">
      <c r="A2" s="112" t="s">
        <v>306</v>
      </c>
      <c r="C2" s="112" t="s">
        <v>619</v>
      </c>
    </row>
    <row r="3" spans="1:11" ht="15" x14ac:dyDescent="0.25">
      <c r="A3" s="112" t="s">
        <v>301</v>
      </c>
      <c r="C3" s="133" t="s">
        <v>620</v>
      </c>
    </row>
    <row r="4" spans="1:11" ht="15" x14ac:dyDescent="0.25">
      <c r="A4" s="112" t="s">
        <v>302</v>
      </c>
      <c r="C4" s="112" t="s">
        <v>606</v>
      </c>
    </row>
    <row r="5" spans="1:11" ht="15" x14ac:dyDescent="0.25">
      <c r="A5" s="112" t="s">
        <v>303</v>
      </c>
      <c r="C5" s="112" t="s">
        <v>607</v>
      </c>
      <c r="D5" s="112" t="s">
        <v>741</v>
      </c>
      <c r="F5" s="112" t="s">
        <v>742</v>
      </c>
      <c r="G5" s="112" t="s">
        <v>743</v>
      </c>
      <c r="H5" s="112" t="s">
        <v>744</v>
      </c>
      <c r="I5" s="112" t="s">
        <v>667</v>
      </c>
      <c r="K5" s="116" t="s">
        <v>746</v>
      </c>
    </row>
    <row r="6" spans="1:11" ht="15" x14ac:dyDescent="0.25">
      <c r="A6" s="112" t="s">
        <v>304</v>
      </c>
      <c r="C6" s="133" t="s">
        <v>608</v>
      </c>
      <c r="D6" s="112" t="s">
        <v>740</v>
      </c>
    </row>
    <row r="7" spans="1:11" ht="15" x14ac:dyDescent="0.25">
      <c r="A7" s="112" t="s">
        <v>305</v>
      </c>
      <c r="C7" s="133" t="s">
        <v>609</v>
      </c>
      <c r="D7" t="s">
        <v>739</v>
      </c>
      <c r="F7" s="112" t="s">
        <v>745</v>
      </c>
    </row>
    <row r="8" spans="1:11" ht="15" x14ac:dyDescent="0.25">
      <c r="A8" s="112" t="s">
        <v>326</v>
      </c>
      <c r="C8" s="112" t="s">
        <v>610</v>
      </c>
    </row>
    <row r="9" spans="1:11" ht="15" x14ac:dyDescent="0.25">
      <c r="A9" s="112" t="s">
        <v>307</v>
      </c>
      <c r="C9" s="133" t="s">
        <v>611</v>
      </c>
      <c r="D9" t="s">
        <v>739</v>
      </c>
    </row>
    <row r="10" spans="1:11" ht="15" x14ac:dyDescent="0.25">
      <c r="A10" s="112" t="s">
        <v>369</v>
      </c>
      <c r="C10" s="112" t="s">
        <v>612</v>
      </c>
    </row>
    <row r="11" spans="1:11" ht="15" x14ac:dyDescent="0.25">
      <c r="A11" s="112" t="s">
        <v>370</v>
      </c>
      <c r="C11" s="112" t="s">
        <v>613</v>
      </c>
    </row>
    <row r="12" spans="1:11" ht="15" x14ac:dyDescent="0.25">
      <c r="A12" s="112" t="s">
        <v>308</v>
      </c>
      <c r="C12" s="112" t="s">
        <v>614</v>
      </c>
    </row>
    <row r="13" spans="1:11" ht="15" x14ac:dyDescent="0.25">
      <c r="A13" s="112" t="s">
        <v>602</v>
      </c>
      <c r="C13" s="112" t="s">
        <v>615</v>
      </c>
    </row>
    <row r="14" spans="1:11" ht="15" x14ac:dyDescent="0.25">
      <c r="A14" s="112" t="s">
        <v>603</v>
      </c>
      <c r="C14" s="112" t="s">
        <v>616</v>
      </c>
    </row>
    <row r="15" spans="1:11" ht="15" x14ac:dyDescent="0.25">
      <c r="A15" s="112" t="s">
        <v>604</v>
      </c>
      <c r="C15" s="112" t="s">
        <v>617</v>
      </c>
    </row>
    <row r="16" spans="1:11" ht="15" x14ac:dyDescent="0.25">
      <c r="A16" s="112" t="s">
        <v>309</v>
      </c>
      <c r="C16" s="116"/>
    </row>
    <row r="17" spans="1:3" ht="15" x14ac:dyDescent="0.25">
      <c r="A17" s="112" t="s">
        <v>310</v>
      </c>
      <c r="C17" s="133"/>
    </row>
    <row r="18" spans="1:3" ht="15" x14ac:dyDescent="0.25">
      <c r="A18" s="112" t="s">
        <v>311</v>
      </c>
      <c r="C18" s="116"/>
    </row>
    <row r="19" spans="1:3" ht="15" x14ac:dyDescent="0.25">
      <c r="A19" s="112" t="s">
        <v>312</v>
      </c>
    </row>
    <row r="20" spans="1:3" ht="15" x14ac:dyDescent="0.25">
      <c r="A20" s="112" t="s">
        <v>313</v>
      </c>
      <c r="C20" s="116"/>
    </row>
    <row r="21" spans="1:3" ht="15" x14ac:dyDescent="0.25">
      <c r="A21" s="112" t="s">
        <v>314</v>
      </c>
      <c r="C21" s="116"/>
    </row>
    <row r="22" spans="1:3" ht="15" x14ac:dyDescent="0.25">
      <c r="A22" s="112" t="s">
        <v>315</v>
      </c>
    </row>
    <row r="23" spans="1:3" ht="15" x14ac:dyDescent="0.25">
      <c r="A23" s="112" t="s">
        <v>316</v>
      </c>
      <c r="C23" s="112"/>
    </row>
    <row r="24" spans="1:3" ht="15" x14ac:dyDescent="0.25">
      <c r="A24" s="112" t="s">
        <v>317</v>
      </c>
      <c r="C24" s="116"/>
    </row>
    <row r="25" spans="1:3" ht="15" x14ac:dyDescent="0.25">
      <c r="A25" s="112" t="s">
        <v>318</v>
      </c>
      <c r="C25" s="116"/>
    </row>
    <row r="26" spans="1:3" ht="15" x14ac:dyDescent="0.25">
      <c r="A26" s="112" t="s">
        <v>319</v>
      </c>
    </row>
    <row r="27" spans="1:3" ht="15" x14ac:dyDescent="0.25">
      <c r="A27" s="112" t="s">
        <v>320</v>
      </c>
      <c r="C27" s="116"/>
    </row>
    <row r="28" spans="1:3" ht="15" x14ac:dyDescent="0.25">
      <c r="A28" s="112" t="s">
        <v>321</v>
      </c>
      <c r="C28" s="116"/>
    </row>
    <row r="29" spans="1:3" ht="15" x14ac:dyDescent="0.25">
      <c r="A29" s="112" t="s">
        <v>322</v>
      </c>
      <c r="C29" s="116"/>
    </row>
    <row r="30" spans="1:3" ht="15" x14ac:dyDescent="0.25">
      <c r="A30" s="116" t="s">
        <v>323</v>
      </c>
    </row>
    <row r="31" spans="1:3" ht="15" x14ac:dyDescent="0.25">
      <c r="A31" s="116" t="s">
        <v>605</v>
      </c>
      <c r="C31" s="116"/>
    </row>
    <row r="32" spans="1:3" ht="15" x14ac:dyDescent="0.25">
      <c r="A32" s="116" t="s">
        <v>324</v>
      </c>
    </row>
    <row r="33" spans="1:1" ht="15" x14ac:dyDescent="0.25">
      <c r="A33" s="112" t="s">
        <v>618</v>
      </c>
    </row>
    <row r="34" spans="1:1" ht="15" x14ac:dyDescent="0.25">
      <c r="A34" s="112" t="s">
        <v>371</v>
      </c>
    </row>
    <row r="35" spans="1:1" ht="15" x14ac:dyDescent="0.25">
      <c r="A35" s="116" t="s">
        <v>373</v>
      </c>
    </row>
    <row r="36" spans="1:1" ht="15" x14ac:dyDescent="0.25">
      <c r="A36" s="133" t="s">
        <v>396</v>
      </c>
    </row>
    <row r="37" spans="1:1" ht="15" x14ac:dyDescent="0.25">
      <c r="A37" s="133" t="s">
        <v>407</v>
      </c>
    </row>
    <row r="41" spans="1:1" x14ac:dyDescent="0.2">
      <c r="A41" t="s">
        <v>1020</v>
      </c>
    </row>
    <row r="42" spans="1:1" ht="15" collapsed="1" x14ac:dyDescent="0.25">
      <c r="A42" s="112" t="s">
        <v>1021</v>
      </c>
    </row>
    <row r="43" spans="1:1" ht="15" hidden="1" outlineLevel="1" x14ac:dyDescent="0.25">
      <c r="A43" s="112" t="s">
        <v>1024</v>
      </c>
    </row>
    <row r="44" spans="1:1" ht="15" hidden="1" outlineLevel="1" x14ac:dyDescent="0.25">
      <c r="A44" s="112" t="s">
        <v>1025</v>
      </c>
    </row>
    <row r="45" spans="1:1" ht="15" hidden="1" outlineLevel="1" x14ac:dyDescent="0.25">
      <c r="A45" s="112" t="s">
        <v>1026</v>
      </c>
    </row>
    <row r="46" spans="1:1" ht="15" collapsed="1" x14ac:dyDescent="0.25">
      <c r="A46" s="112" t="s">
        <v>1022</v>
      </c>
    </row>
    <row r="47" spans="1:1" ht="15" hidden="1" outlineLevel="1" x14ac:dyDescent="0.25">
      <c r="A47" s="112" t="s">
        <v>1024</v>
      </c>
    </row>
    <row r="48" spans="1:1" ht="15" hidden="1" outlineLevel="1" x14ac:dyDescent="0.25">
      <c r="A48" s="112" t="s">
        <v>1025</v>
      </c>
    </row>
    <row r="49" spans="1:1" ht="15" hidden="1" outlineLevel="1" x14ac:dyDescent="0.25">
      <c r="A49" s="112" t="s">
        <v>1032</v>
      </c>
    </row>
    <row r="50" spans="1:1" ht="15" collapsed="1" x14ac:dyDescent="0.25">
      <c r="A50" s="112" t="s">
        <v>1023</v>
      </c>
    </row>
    <row r="51" spans="1:1" ht="15" hidden="1" outlineLevel="1" x14ac:dyDescent="0.25">
      <c r="A51" s="116" t="s">
        <v>1024</v>
      </c>
    </row>
    <row r="52" spans="1:1" ht="15" hidden="1" outlineLevel="1" x14ac:dyDescent="0.25">
      <c r="A52" s="116" t="s">
        <v>1025</v>
      </c>
    </row>
    <row r="53" spans="1:1" ht="15" hidden="1" outlineLevel="1" x14ac:dyDescent="0.25">
      <c r="A53" s="116" t="s">
        <v>1026</v>
      </c>
    </row>
    <row r="54" spans="1:1" ht="15" collapsed="1" x14ac:dyDescent="0.25">
      <c r="A54" s="116" t="s">
        <v>1027</v>
      </c>
    </row>
    <row r="55" spans="1:1" ht="15" hidden="1" outlineLevel="1" x14ac:dyDescent="0.25">
      <c r="A55" s="112" t="s">
        <v>1028</v>
      </c>
    </row>
    <row r="56" spans="1:1" ht="15" hidden="1" outlineLevel="1" x14ac:dyDescent="0.25">
      <c r="A56" s="116" t="s">
        <v>1031</v>
      </c>
    </row>
    <row r="57" spans="1:1" ht="15" hidden="1" outlineLevel="1" x14ac:dyDescent="0.25">
      <c r="A57" s="112" t="s">
        <v>1029</v>
      </c>
    </row>
    <row r="58" spans="1:1" ht="15" hidden="1" outlineLevel="1" x14ac:dyDescent="0.25">
      <c r="A58" s="116" t="s">
        <v>1030</v>
      </c>
    </row>
    <row r="59" spans="1:1" ht="15" collapsed="1" x14ac:dyDescent="0.25">
      <c r="A59" s="116" t="s">
        <v>1033</v>
      </c>
    </row>
    <row r="60" spans="1:1" ht="15" hidden="1" outlineLevel="1" x14ac:dyDescent="0.25">
      <c r="A60" s="112" t="s">
        <v>1034</v>
      </c>
    </row>
    <row r="61" spans="1:1" ht="15" hidden="1" outlineLevel="1" x14ac:dyDescent="0.25">
      <c r="A61" s="116" t="s">
        <v>1035</v>
      </c>
    </row>
    <row r="62" spans="1:1" ht="15" hidden="1" outlineLevel="1" x14ac:dyDescent="0.25">
      <c r="A62" s="116" t="s">
        <v>1036</v>
      </c>
    </row>
    <row r="63" spans="1:1" ht="15" collapsed="1" x14ac:dyDescent="0.25">
      <c r="A63" s="116" t="s">
        <v>1044</v>
      </c>
    </row>
    <row r="64" spans="1:1" ht="15" hidden="1" outlineLevel="1" x14ac:dyDescent="0.25">
      <c r="A64" s="116" t="s">
        <v>1045</v>
      </c>
    </row>
    <row r="65" spans="1:1" ht="15" hidden="1" outlineLevel="1" x14ac:dyDescent="0.25">
      <c r="A65" s="116" t="s">
        <v>1046</v>
      </c>
    </row>
    <row r="66" spans="1:1" ht="15" hidden="1" outlineLevel="1" x14ac:dyDescent="0.25">
      <c r="A66" s="116" t="s">
        <v>1047</v>
      </c>
    </row>
    <row r="67" spans="1:1" ht="15" collapsed="1" x14ac:dyDescent="0.25">
      <c r="A67" s="116" t="s">
        <v>1048</v>
      </c>
    </row>
    <row r="68" spans="1:1" ht="15" hidden="1" outlineLevel="1" x14ac:dyDescent="0.25">
      <c r="A68" s="116" t="s">
        <v>1049</v>
      </c>
    </row>
    <row r="69" spans="1:1" ht="15" hidden="1" outlineLevel="1" x14ac:dyDescent="0.25">
      <c r="A69" s="116" t="s">
        <v>1050</v>
      </c>
    </row>
    <row r="70" spans="1:1" ht="15" x14ac:dyDescent="0.25">
      <c r="A70" s="116" t="s">
        <v>1051</v>
      </c>
    </row>
    <row r="71" spans="1:1" ht="15" outlineLevel="1" x14ac:dyDescent="0.25">
      <c r="A71" s="116" t="s">
        <v>1052</v>
      </c>
    </row>
    <row r="72" spans="1:1" ht="15" outlineLevel="1" x14ac:dyDescent="0.25">
      <c r="A72" s="116" t="s">
        <v>1053</v>
      </c>
    </row>
    <row r="73" spans="1:1" ht="15" outlineLevel="1" x14ac:dyDescent="0.25">
      <c r="A73" s="116" t="s">
        <v>1054</v>
      </c>
    </row>
    <row r="74" spans="1:1" ht="15" x14ac:dyDescent="0.25">
      <c r="A74" s="116" t="s">
        <v>1117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P33"/>
  <sheetViews>
    <sheetView topLeftCell="I1" workbookViewId="0">
      <selection activeCell="P21" sqref="P21"/>
    </sheetView>
  </sheetViews>
  <sheetFormatPr defaultRowHeight="12.75" x14ac:dyDescent="0.2"/>
  <cols>
    <col min="1" max="1" width="19.42578125" bestFit="1" customWidth="1"/>
  </cols>
  <sheetData>
    <row r="2" spans="1:16" x14ac:dyDescent="0.2">
      <c r="C2" t="s">
        <v>230</v>
      </c>
      <c r="D2" t="s">
        <v>232</v>
      </c>
      <c r="E2" t="s">
        <v>1233</v>
      </c>
      <c r="F2" t="s">
        <v>233</v>
      </c>
      <c r="G2" t="s">
        <v>234</v>
      </c>
      <c r="H2" t="s">
        <v>236</v>
      </c>
      <c r="I2" t="s">
        <v>1234</v>
      </c>
      <c r="J2" t="s">
        <v>235</v>
      </c>
      <c r="K2" t="s">
        <v>298</v>
      </c>
      <c r="L2" t="s">
        <v>1058</v>
      </c>
      <c r="M2" t="s">
        <v>1059</v>
      </c>
      <c r="N2" t="s">
        <v>1194</v>
      </c>
      <c r="O2" t="s">
        <v>1200</v>
      </c>
      <c r="P2" t="s">
        <v>1204</v>
      </c>
    </row>
    <row r="3" spans="1:16" ht="15" x14ac:dyDescent="0.25">
      <c r="A3" s="1"/>
      <c r="B3" s="1" t="s">
        <v>668</v>
      </c>
      <c r="C3" s="131" t="s">
        <v>669</v>
      </c>
      <c r="D3" s="1" t="s">
        <v>1111</v>
      </c>
      <c r="E3" s="131" t="s">
        <v>670</v>
      </c>
      <c r="F3" s="1" t="s">
        <v>671</v>
      </c>
      <c r="G3" s="131" t="s">
        <v>672</v>
      </c>
      <c r="H3" s="1" t="s">
        <v>673</v>
      </c>
      <c r="I3" s="131" t="s">
        <v>1112</v>
      </c>
      <c r="J3" s="1" t="s">
        <v>674</v>
      </c>
      <c r="K3" s="131" t="s">
        <v>675</v>
      </c>
      <c r="L3" s="1" t="s">
        <v>1113</v>
      </c>
      <c r="M3" s="131" t="s">
        <v>1114</v>
      </c>
      <c r="N3" s="1" t="s">
        <v>676</v>
      </c>
      <c r="O3" s="131" t="s">
        <v>677</v>
      </c>
      <c r="P3" s="1" t="s">
        <v>1115</v>
      </c>
    </row>
    <row r="4" spans="1:16" ht="15" x14ac:dyDescent="0.25">
      <c r="A4" s="1"/>
      <c r="B4" s="1"/>
      <c r="C4" s="131" t="s">
        <v>680</v>
      </c>
      <c r="D4" s="1" t="s">
        <v>679</v>
      </c>
      <c r="E4" s="131" t="s">
        <v>679</v>
      </c>
      <c r="F4" s="1" t="s">
        <v>680</v>
      </c>
      <c r="G4" s="131" t="s">
        <v>678</v>
      </c>
      <c r="H4" s="1" t="s">
        <v>679</v>
      </c>
      <c r="I4" s="131" t="s">
        <v>679</v>
      </c>
      <c r="J4" s="1" t="s">
        <v>678</v>
      </c>
      <c r="K4" s="131" t="s">
        <v>680</v>
      </c>
      <c r="L4" s="1" t="s">
        <v>680</v>
      </c>
      <c r="M4" s="131" t="s">
        <v>680</v>
      </c>
      <c r="N4" s="1" t="s">
        <v>680</v>
      </c>
      <c r="O4" s="131" t="s">
        <v>678</v>
      </c>
      <c r="P4" s="1" t="s">
        <v>681</v>
      </c>
    </row>
    <row r="5" spans="1:16" ht="15" x14ac:dyDescent="0.25">
      <c r="A5" s="1" t="s">
        <v>629</v>
      </c>
      <c r="B5" s="1" t="s">
        <v>682</v>
      </c>
      <c r="C5" s="131">
        <v>220</v>
      </c>
      <c r="D5" s="1">
        <v>220</v>
      </c>
      <c r="E5" s="131">
        <v>220</v>
      </c>
      <c r="F5" s="1">
        <v>220</v>
      </c>
      <c r="G5" s="131">
        <v>220</v>
      </c>
      <c r="H5" s="1">
        <v>220</v>
      </c>
      <c r="I5" s="131">
        <v>220</v>
      </c>
      <c r="J5" s="1">
        <v>220</v>
      </c>
      <c r="K5" s="131">
        <v>220</v>
      </c>
      <c r="L5" s="1">
        <v>220</v>
      </c>
      <c r="M5" s="131">
        <v>220</v>
      </c>
      <c r="N5" s="1">
        <v>220</v>
      </c>
      <c r="O5" s="131">
        <v>220</v>
      </c>
      <c r="P5" s="1">
        <v>220</v>
      </c>
    </row>
    <row r="6" spans="1:16" ht="15" x14ac:dyDescent="0.25">
      <c r="A6" s="1" t="s">
        <v>683</v>
      </c>
      <c r="B6" s="1" t="s">
        <v>684</v>
      </c>
      <c r="C6" s="131">
        <v>76</v>
      </c>
      <c r="D6" s="1">
        <v>85</v>
      </c>
      <c r="E6" s="131">
        <v>85</v>
      </c>
      <c r="F6" s="1">
        <v>76</v>
      </c>
      <c r="G6" s="131">
        <v>85</v>
      </c>
      <c r="H6" s="1">
        <v>85</v>
      </c>
      <c r="I6" s="131">
        <v>85</v>
      </c>
      <c r="J6" s="1">
        <v>85</v>
      </c>
      <c r="K6" s="131">
        <v>76</v>
      </c>
      <c r="L6" s="1">
        <v>76</v>
      </c>
      <c r="M6" s="131">
        <v>76</v>
      </c>
      <c r="N6" s="1">
        <v>76</v>
      </c>
      <c r="O6" s="131">
        <v>85</v>
      </c>
      <c r="P6" s="1">
        <v>85</v>
      </c>
    </row>
    <row r="7" spans="1:16" ht="15" x14ac:dyDescent="0.25">
      <c r="A7" s="1" t="s">
        <v>685</v>
      </c>
      <c r="B7" s="1" t="s">
        <v>686</v>
      </c>
      <c r="C7" s="131">
        <v>230</v>
      </c>
      <c r="D7" s="1">
        <v>230</v>
      </c>
      <c r="E7" s="131">
        <v>230</v>
      </c>
      <c r="F7" s="1">
        <v>230</v>
      </c>
      <c r="G7" s="131">
        <v>230</v>
      </c>
      <c r="H7" s="1">
        <v>230</v>
      </c>
      <c r="I7" s="131">
        <v>230</v>
      </c>
      <c r="J7" s="1">
        <v>230</v>
      </c>
      <c r="K7" s="131">
        <v>230</v>
      </c>
      <c r="L7" s="1">
        <v>230</v>
      </c>
      <c r="M7" s="131">
        <v>230</v>
      </c>
      <c r="N7" s="1">
        <v>230</v>
      </c>
      <c r="O7" s="131">
        <v>230</v>
      </c>
      <c r="P7" s="1">
        <v>230</v>
      </c>
    </row>
    <row r="8" spans="1:16" ht="15" x14ac:dyDescent="0.25">
      <c r="A8" s="1" t="s">
        <v>687</v>
      </c>
      <c r="B8" s="1" t="s">
        <v>688</v>
      </c>
      <c r="C8" s="131">
        <v>86</v>
      </c>
      <c r="D8" s="1">
        <v>80</v>
      </c>
      <c r="E8" s="131">
        <v>80</v>
      </c>
      <c r="F8" s="1">
        <v>86</v>
      </c>
      <c r="G8" s="131">
        <v>80</v>
      </c>
      <c r="H8" s="1">
        <v>80</v>
      </c>
      <c r="I8" s="131">
        <v>80</v>
      </c>
      <c r="J8" s="1">
        <v>80</v>
      </c>
      <c r="K8" s="131">
        <v>86</v>
      </c>
      <c r="L8" s="1">
        <v>86</v>
      </c>
      <c r="M8" s="131">
        <v>86</v>
      </c>
      <c r="N8" s="1">
        <v>86</v>
      </c>
      <c r="O8" s="131">
        <v>80</v>
      </c>
      <c r="P8" s="1">
        <v>80</v>
      </c>
    </row>
    <row r="9" spans="1:16" ht="15" x14ac:dyDescent="0.25">
      <c r="A9" s="1" t="s">
        <v>689</v>
      </c>
      <c r="B9" s="1" t="s">
        <v>690</v>
      </c>
      <c r="C9" s="131">
        <v>500</v>
      </c>
      <c r="D9" s="1">
        <v>500</v>
      </c>
      <c r="E9" s="131">
        <v>500</v>
      </c>
      <c r="F9" s="1">
        <v>500</v>
      </c>
      <c r="G9" s="131">
        <v>500</v>
      </c>
      <c r="H9" s="1">
        <v>500</v>
      </c>
      <c r="I9" s="131">
        <v>500</v>
      </c>
      <c r="J9" s="1">
        <v>500</v>
      </c>
      <c r="K9" s="131">
        <v>500</v>
      </c>
      <c r="L9" s="1">
        <v>500</v>
      </c>
      <c r="M9" s="131">
        <v>500</v>
      </c>
      <c r="N9" s="1">
        <v>500</v>
      </c>
      <c r="O9" s="131">
        <v>500</v>
      </c>
      <c r="P9" s="1">
        <v>500</v>
      </c>
    </row>
    <row r="10" spans="1:16" ht="15" x14ac:dyDescent="0.25">
      <c r="A10" s="1" t="s">
        <v>691</v>
      </c>
      <c r="B10" s="1" t="s">
        <v>692</v>
      </c>
      <c r="C10" s="131">
        <v>1420</v>
      </c>
      <c r="D10" s="1">
        <v>2772</v>
      </c>
      <c r="E10" s="131">
        <v>2772</v>
      </c>
      <c r="F10" s="1">
        <v>1420</v>
      </c>
      <c r="G10" s="131">
        <v>2870</v>
      </c>
      <c r="H10" s="1">
        <v>2772</v>
      </c>
      <c r="I10" s="131">
        <v>2772</v>
      </c>
      <c r="J10" s="1">
        <v>2870</v>
      </c>
      <c r="K10" s="131">
        <v>1420</v>
      </c>
      <c r="L10" s="1">
        <v>1420</v>
      </c>
      <c r="M10" s="131">
        <v>1420</v>
      </c>
      <c r="N10" s="1">
        <v>1420</v>
      </c>
      <c r="O10" s="131">
        <v>2870</v>
      </c>
      <c r="P10" s="1">
        <v>2870</v>
      </c>
    </row>
    <row r="12" spans="1:16" x14ac:dyDescent="0.2">
      <c r="A12" t="s">
        <v>1107</v>
      </c>
      <c r="C12" t="s">
        <v>678</v>
      </c>
    </row>
    <row r="13" spans="1:16" x14ac:dyDescent="0.2">
      <c r="A13" t="s">
        <v>1108</v>
      </c>
      <c r="C13" t="s">
        <v>680</v>
      </c>
    </row>
    <row r="14" spans="1:16" x14ac:dyDescent="0.2">
      <c r="A14" t="s">
        <v>1109</v>
      </c>
      <c r="C14" t="s">
        <v>681</v>
      </c>
    </row>
    <row r="15" spans="1:16" x14ac:dyDescent="0.2">
      <c r="A15" t="s">
        <v>1110</v>
      </c>
      <c r="C15" t="s">
        <v>679</v>
      </c>
    </row>
    <row r="19" spans="3:12" ht="15" x14ac:dyDescent="0.25">
      <c r="C19">
        <v>1</v>
      </c>
      <c r="D19" t="s">
        <v>230</v>
      </c>
      <c r="E19" t="s">
        <v>230</v>
      </c>
      <c r="G19" s="112" t="s">
        <v>1146</v>
      </c>
      <c r="H19" s="112" t="s">
        <v>1059</v>
      </c>
      <c r="J19" t="s">
        <v>1158</v>
      </c>
      <c r="K19" t="s">
        <v>1159</v>
      </c>
      <c r="L19" t="s">
        <v>1160</v>
      </c>
    </row>
    <row r="20" spans="3:12" ht="15" x14ac:dyDescent="0.25">
      <c r="C20">
        <v>2</v>
      </c>
      <c r="D20" t="s">
        <v>231</v>
      </c>
      <c r="E20" t="s">
        <v>231</v>
      </c>
      <c r="G20" s="112" t="s">
        <v>1147</v>
      </c>
      <c r="H20" s="112" t="s">
        <v>300</v>
      </c>
    </row>
    <row r="21" spans="3:12" ht="15" x14ac:dyDescent="0.25">
      <c r="C21">
        <v>3</v>
      </c>
      <c r="D21" s="112" t="s">
        <v>232</v>
      </c>
      <c r="E21" s="112" t="s">
        <v>1058</v>
      </c>
      <c r="G21" s="112" t="s">
        <v>1148</v>
      </c>
      <c r="H21" s="112" t="s">
        <v>1058</v>
      </c>
    </row>
    <row r="22" spans="3:12" ht="15" x14ac:dyDescent="0.25">
      <c r="C22">
        <v>4</v>
      </c>
      <c r="D22" s="112" t="s">
        <v>233</v>
      </c>
      <c r="E22" s="112" t="s">
        <v>232</v>
      </c>
      <c r="G22" s="112" t="s">
        <v>1149</v>
      </c>
      <c r="H22" s="112" t="s">
        <v>232</v>
      </c>
    </row>
    <row r="23" spans="3:12" ht="15" x14ac:dyDescent="0.25">
      <c r="C23">
        <v>5</v>
      </c>
      <c r="D23" s="112" t="s">
        <v>234</v>
      </c>
      <c r="E23" s="112" t="s">
        <v>233</v>
      </c>
      <c r="G23" s="112" t="s">
        <v>1150</v>
      </c>
      <c r="H23" s="112" t="s">
        <v>233</v>
      </c>
    </row>
    <row r="24" spans="3:12" ht="15" x14ac:dyDescent="0.25">
      <c r="C24">
        <v>6</v>
      </c>
      <c r="D24" s="112" t="s">
        <v>236</v>
      </c>
      <c r="E24" s="112" t="s">
        <v>234</v>
      </c>
      <c r="G24" s="112" t="s">
        <v>1151</v>
      </c>
      <c r="H24" s="112" t="s">
        <v>234</v>
      </c>
    </row>
    <row r="25" spans="3:12" ht="15" x14ac:dyDescent="0.25">
      <c r="C25">
        <v>7</v>
      </c>
      <c r="D25" s="112" t="s">
        <v>235</v>
      </c>
      <c r="E25" s="112" t="s">
        <v>236</v>
      </c>
      <c r="G25" s="112" t="s">
        <v>1152</v>
      </c>
      <c r="H25" s="112" t="s">
        <v>236</v>
      </c>
    </row>
    <row r="26" spans="3:12" ht="15" x14ac:dyDescent="0.25">
      <c r="C26">
        <v>8</v>
      </c>
      <c r="D26" s="112" t="s">
        <v>298</v>
      </c>
      <c r="E26" s="112" t="s">
        <v>235</v>
      </c>
      <c r="G26" s="112" t="s">
        <v>1153</v>
      </c>
      <c r="H26" s="112" t="s">
        <v>235</v>
      </c>
    </row>
    <row r="27" spans="3:12" ht="15" x14ac:dyDescent="0.25">
      <c r="C27">
        <v>9</v>
      </c>
      <c r="D27" s="112" t="s">
        <v>779</v>
      </c>
      <c r="E27" s="112" t="s">
        <v>298</v>
      </c>
      <c r="G27" s="112" t="s">
        <v>1154</v>
      </c>
      <c r="H27" s="112" t="s">
        <v>298</v>
      </c>
    </row>
    <row r="28" spans="3:12" ht="15" x14ac:dyDescent="0.25">
      <c r="C28">
        <v>10</v>
      </c>
      <c r="D28" s="112" t="s">
        <v>300</v>
      </c>
      <c r="E28" s="112" t="s">
        <v>1059</v>
      </c>
      <c r="G28" s="112" t="s">
        <v>1155</v>
      </c>
      <c r="H28" s="112" t="s">
        <v>779</v>
      </c>
    </row>
    <row r="29" spans="3:12" ht="15" x14ac:dyDescent="0.25">
      <c r="C29">
        <v>11</v>
      </c>
      <c r="D29" s="112" t="s">
        <v>780</v>
      </c>
      <c r="E29" s="112" t="s">
        <v>779</v>
      </c>
      <c r="G29" s="112" t="s">
        <v>1156</v>
      </c>
      <c r="H29" s="112" t="s">
        <v>780</v>
      </c>
    </row>
    <row r="30" spans="3:12" ht="15" x14ac:dyDescent="0.25">
      <c r="C30">
        <v>12</v>
      </c>
      <c r="D30" s="112" t="s">
        <v>1058</v>
      </c>
      <c r="E30" s="112" t="s">
        <v>300</v>
      </c>
      <c r="G30" s="112" t="s">
        <v>1157</v>
      </c>
      <c r="H30" s="112" t="s">
        <v>781</v>
      </c>
    </row>
    <row r="31" spans="3:12" ht="15" x14ac:dyDescent="0.25">
      <c r="C31">
        <v>13</v>
      </c>
      <c r="D31" s="112" t="s">
        <v>781</v>
      </c>
      <c r="E31" s="112" t="s">
        <v>780</v>
      </c>
    </row>
    <row r="32" spans="3:12" ht="15" x14ac:dyDescent="0.25">
      <c r="C32">
        <v>14</v>
      </c>
      <c r="D32" s="112" t="s">
        <v>1060</v>
      </c>
      <c r="E32" s="112" t="s">
        <v>781</v>
      </c>
    </row>
    <row r="33" spans="3:5" x14ac:dyDescent="0.2">
      <c r="C33">
        <v>15</v>
      </c>
      <c r="E33" t="s">
        <v>1060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G115"/>
  <sheetViews>
    <sheetView topLeftCell="A77" workbookViewId="0">
      <selection activeCell="E117" sqref="E117"/>
    </sheetView>
  </sheetViews>
  <sheetFormatPr defaultRowHeight="12.75" x14ac:dyDescent="0.2"/>
  <cols>
    <col min="2" max="2" width="57.140625" customWidth="1"/>
    <col min="3" max="3" width="9.7109375" customWidth="1"/>
    <col min="5" max="5" width="11.42578125" style="30" customWidth="1"/>
    <col min="7" max="7" width="56.42578125" customWidth="1"/>
  </cols>
  <sheetData>
    <row r="1" spans="1:7" x14ac:dyDescent="0.2">
      <c r="A1" s="11" t="s">
        <v>375</v>
      </c>
      <c r="F1" s="11"/>
    </row>
    <row r="2" spans="1:7" ht="13.5" thickBot="1" x14ac:dyDescent="0.25">
      <c r="A2" s="11"/>
      <c r="C2" t="s">
        <v>505</v>
      </c>
      <c r="D2" t="s">
        <v>328</v>
      </c>
      <c r="E2" s="30" t="s">
        <v>580</v>
      </c>
      <c r="F2" s="11"/>
    </row>
    <row r="3" spans="1:7" ht="13.5" thickBot="1" x14ac:dyDescent="0.25">
      <c r="A3" s="11" t="s">
        <v>36</v>
      </c>
      <c r="C3" s="8">
        <v>1100</v>
      </c>
      <c r="D3" s="8">
        <v>1000</v>
      </c>
      <c r="E3" s="139">
        <v>12</v>
      </c>
    </row>
    <row r="4" spans="1:7" x14ac:dyDescent="0.2">
      <c r="A4" s="11"/>
      <c r="C4" s="137" t="s">
        <v>508</v>
      </c>
      <c r="D4" s="137" t="s">
        <v>507</v>
      </c>
      <c r="E4" s="138" t="s">
        <v>297</v>
      </c>
      <c r="G4" t="s">
        <v>471</v>
      </c>
    </row>
    <row r="5" spans="1:7" x14ac:dyDescent="0.2">
      <c r="A5" t="s">
        <v>446</v>
      </c>
      <c r="B5" t="s">
        <v>451</v>
      </c>
      <c r="C5" s="1">
        <v>3310</v>
      </c>
      <c r="D5" s="1">
        <v>45</v>
      </c>
      <c r="E5" s="29">
        <f>(C5/(D5/0.06))</f>
        <v>4.4133333333333331</v>
      </c>
      <c r="G5" t="s">
        <v>506</v>
      </c>
    </row>
    <row r="6" spans="1:7" x14ac:dyDescent="0.2">
      <c r="A6" t="s">
        <v>447</v>
      </c>
      <c r="B6" t="s">
        <v>452</v>
      </c>
      <c r="C6" s="1"/>
      <c r="D6" s="1"/>
      <c r="E6" s="29">
        <v>0.5</v>
      </c>
      <c r="F6" s="11"/>
      <c r="G6" t="s">
        <v>511</v>
      </c>
    </row>
    <row r="7" spans="1:7" x14ac:dyDescent="0.2">
      <c r="A7" t="s">
        <v>448</v>
      </c>
      <c r="B7" t="s">
        <v>453</v>
      </c>
      <c r="C7" s="1"/>
      <c r="D7" s="1"/>
      <c r="E7" s="29">
        <v>1</v>
      </c>
      <c r="G7" t="s">
        <v>512</v>
      </c>
    </row>
    <row r="8" spans="1:7" x14ac:dyDescent="0.2">
      <c r="A8" t="s">
        <v>449</v>
      </c>
      <c r="B8" t="s">
        <v>454</v>
      </c>
      <c r="C8" s="1"/>
      <c r="D8" s="1"/>
      <c r="E8" s="29">
        <v>0.5</v>
      </c>
      <c r="F8" s="11"/>
      <c r="G8" t="s">
        <v>513</v>
      </c>
    </row>
    <row r="9" spans="1:7" x14ac:dyDescent="0.2">
      <c r="A9" t="s">
        <v>450</v>
      </c>
      <c r="B9" t="s">
        <v>455</v>
      </c>
      <c r="C9" s="1">
        <v>200</v>
      </c>
      <c r="D9" s="1">
        <v>10</v>
      </c>
      <c r="E9" s="29">
        <f>(C9/(D9/0.06))</f>
        <v>1.2</v>
      </c>
      <c r="G9" t="s">
        <v>514</v>
      </c>
    </row>
    <row r="10" spans="1:7" x14ac:dyDescent="0.2">
      <c r="A10" t="s">
        <v>378</v>
      </c>
      <c r="B10" t="s">
        <v>376</v>
      </c>
      <c r="C10" s="1"/>
      <c r="D10" s="1"/>
      <c r="E10" s="29">
        <v>3</v>
      </c>
      <c r="G10" t="s">
        <v>515</v>
      </c>
    </row>
    <row r="11" spans="1:7" x14ac:dyDescent="0.2">
      <c r="A11" t="s">
        <v>379</v>
      </c>
      <c r="B11" t="s">
        <v>377</v>
      </c>
      <c r="C11" s="1"/>
      <c r="D11" s="1"/>
      <c r="E11" s="29">
        <v>0</v>
      </c>
      <c r="F11" s="11"/>
      <c r="G11" t="s">
        <v>516</v>
      </c>
    </row>
    <row r="12" spans="1:7" ht="13.5" thickBot="1" x14ac:dyDescent="0.25">
      <c r="A12" s="11"/>
    </row>
    <row r="13" spans="1:7" ht="13.5" thickBot="1" x14ac:dyDescent="0.25">
      <c r="A13" s="11"/>
      <c r="E13" s="18">
        <f>SUM(E5:E11)</f>
        <v>10.613333333333333</v>
      </c>
    </row>
    <row r="14" spans="1:7" x14ac:dyDescent="0.2">
      <c r="A14" s="11"/>
    </row>
    <row r="15" spans="1:7" x14ac:dyDescent="0.2">
      <c r="A15" s="11" t="s">
        <v>380</v>
      </c>
      <c r="C15" s="2" t="s">
        <v>508</v>
      </c>
      <c r="D15" s="2" t="s">
        <v>507</v>
      </c>
      <c r="E15" s="3" t="s">
        <v>297</v>
      </c>
    </row>
    <row r="16" spans="1:7" x14ac:dyDescent="0.2">
      <c r="A16" t="s">
        <v>381</v>
      </c>
      <c r="B16" t="s">
        <v>382</v>
      </c>
      <c r="C16" s="1">
        <f>C3</f>
        <v>1100</v>
      </c>
      <c r="D16" s="1">
        <v>35</v>
      </c>
      <c r="E16" s="29">
        <f>(C16/(D16/0.06))</f>
        <v>1.8857142857142857</v>
      </c>
      <c r="G16" t="s">
        <v>509</v>
      </c>
    </row>
    <row r="17" spans="1:7" ht="13.5" thickBot="1" x14ac:dyDescent="0.25"/>
    <row r="18" spans="1:7" ht="13.5" thickBot="1" x14ac:dyDescent="0.25">
      <c r="D18" s="4" t="s">
        <v>383</v>
      </c>
      <c r="E18" s="18">
        <f>E16+E13</f>
        <v>12.499047619047619</v>
      </c>
      <c r="G18" t="s">
        <v>510</v>
      </c>
    </row>
    <row r="21" spans="1:7" x14ac:dyDescent="0.2">
      <c r="A21" t="s">
        <v>124</v>
      </c>
      <c r="C21" s="2" t="s">
        <v>508</v>
      </c>
      <c r="D21" s="2" t="s">
        <v>507</v>
      </c>
      <c r="E21" s="3" t="s">
        <v>297</v>
      </c>
      <c r="G21" t="s">
        <v>519</v>
      </c>
    </row>
    <row r="22" spans="1:7" x14ac:dyDescent="0.2">
      <c r="A22" t="s">
        <v>381</v>
      </c>
      <c r="B22" t="s">
        <v>382</v>
      </c>
      <c r="C22" s="1">
        <f>C3</f>
        <v>1100</v>
      </c>
      <c r="D22" s="1">
        <v>35</v>
      </c>
      <c r="E22" s="29">
        <f>(C22/(D22/0.06))</f>
        <v>1.8857142857142857</v>
      </c>
      <c r="G22" t="s">
        <v>509</v>
      </c>
    </row>
    <row r="23" spans="1:7" x14ac:dyDescent="0.2">
      <c r="A23" t="s">
        <v>372</v>
      </c>
      <c r="B23" t="s">
        <v>384</v>
      </c>
      <c r="C23" s="1">
        <v>200</v>
      </c>
      <c r="D23" s="1">
        <v>35</v>
      </c>
      <c r="E23" s="29">
        <f>(C23/(D23/0.06))</f>
        <v>0.34285714285714286</v>
      </c>
      <c r="G23" t="s">
        <v>517</v>
      </c>
    </row>
    <row r="24" spans="1:7" x14ac:dyDescent="0.2">
      <c r="A24" t="s">
        <v>456</v>
      </c>
      <c r="B24" t="s">
        <v>459</v>
      </c>
      <c r="C24" s="1">
        <v>800</v>
      </c>
      <c r="D24" s="1">
        <v>35</v>
      </c>
      <c r="E24" s="29">
        <f>(C24/(D24/0.06))</f>
        <v>1.3714285714285714</v>
      </c>
      <c r="F24" s="11"/>
      <c r="G24" t="s">
        <v>518</v>
      </c>
    </row>
    <row r="25" spans="1:7" x14ac:dyDescent="0.2">
      <c r="A25" t="s">
        <v>457</v>
      </c>
      <c r="B25" t="s">
        <v>460</v>
      </c>
      <c r="C25" s="1">
        <v>310</v>
      </c>
      <c r="D25" s="1">
        <v>45</v>
      </c>
      <c r="E25" s="29">
        <f>(C25/(D25/0.06))</f>
        <v>0.41333333333333333</v>
      </c>
      <c r="G25" t="s">
        <v>520</v>
      </c>
    </row>
    <row r="26" spans="1:7" x14ac:dyDescent="0.2">
      <c r="A26" t="s">
        <v>458</v>
      </c>
      <c r="B26" t="s">
        <v>461</v>
      </c>
      <c r="C26" s="1"/>
      <c r="D26" s="1"/>
      <c r="E26" s="29">
        <v>0</v>
      </c>
      <c r="F26" s="11"/>
      <c r="G26" t="s">
        <v>516</v>
      </c>
    </row>
    <row r="27" spans="1:7" ht="13.5" thickBot="1" x14ac:dyDescent="0.25">
      <c r="F27" s="11"/>
    </row>
    <row r="28" spans="1:7" ht="13.5" thickBot="1" x14ac:dyDescent="0.25">
      <c r="E28" s="18">
        <f>SUM(E22:E26)</f>
        <v>4.0133333333333336</v>
      </c>
      <c r="F28" s="11"/>
    </row>
    <row r="29" spans="1:7" x14ac:dyDescent="0.2">
      <c r="F29" s="11"/>
    </row>
    <row r="30" spans="1:7" x14ac:dyDescent="0.2">
      <c r="A30" s="11" t="s">
        <v>380</v>
      </c>
      <c r="C30" s="2" t="s">
        <v>508</v>
      </c>
      <c r="D30" s="2" t="s">
        <v>507</v>
      </c>
      <c r="E30" s="3" t="s">
        <v>297</v>
      </c>
      <c r="F30" s="11"/>
    </row>
    <row r="31" spans="1:7" x14ac:dyDescent="0.2">
      <c r="A31" t="s">
        <v>465</v>
      </c>
      <c r="B31" t="s">
        <v>462</v>
      </c>
      <c r="C31" s="1">
        <v>3760</v>
      </c>
      <c r="D31" s="1">
        <v>45</v>
      </c>
      <c r="E31" s="29">
        <f>(C31/(D31/0.06))</f>
        <v>5.0133333333333336</v>
      </c>
      <c r="F31" s="11"/>
      <c r="G31" t="s">
        <v>522</v>
      </c>
    </row>
    <row r="32" spans="1:7" ht="13.5" thickBot="1" x14ac:dyDescent="0.25">
      <c r="F32" s="11"/>
    </row>
    <row r="33" spans="1:7" ht="13.5" thickBot="1" x14ac:dyDescent="0.25">
      <c r="D33" s="4" t="s">
        <v>391</v>
      </c>
      <c r="E33" s="18">
        <f>SUM(E31+E28)</f>
        <v>9.0266666666666673</v>
      </c>
      <c r="F33" s="11"/>
      <c r="G33" t="s">
        <v>521</v>
      </c>
    </row>
    <row r="34" spans="1:7" x14ac:dyDescent="0.2">
      <c r="F34" s="11"/>
    </row>
    <row r="35" spans="1:7" x14ac:dyDescent="0.2">
      <c r="C35" s="2" t="s">
        <v>508</v>
      </c>
      <c r="D35" s="2" t="s">
        <v>507</v>
      </c>
      <c r="E35" s="3" t="s">
        <v>297</v>
      </c>
      <c r="F35" s="11"/>
      <c r="G35" t="s">
        <v>527</v>
      </c>
    </row>
    <row r="36" spans="1:7" x14ac:dyDescent="0.2">
      <c r="A36" t="s">
        <v>465</v>
      </c>
      <c r="B36" t="s">
        <v>462</v>
      </c>
      <c r="C36" s="1">
        <v>3760</v>
      </c>
      <c r="D36" s="1">
        <v>45</v>
      </c>
      <c r="E36" s="29">
        <f>(C36/(D36/0.06))</f>
        <v>5.0133333333333336</v>
      </c>
      <c r="G36" t="s">
        <v>522</v>
      </c>
    </row>
    <row r="37" spans="1:7" x14ac:dyDescent="0.2">
      <c r="A37" t="s">
        <v>466</v>
      </c>
      <c r="B37" t="s">
        <v>463</v>
      </c>
      <c r="C37" s="1"/>
      <c r="D37" s="1"/>
      <c r="E37" s="29">
        <v>1.2</v>
      </c>
      <c r="G37" t="s">
        <v>523</v>
      </c>
    </row>
    <row r="38" spans="1:7" x14ac:dyDescent="0.2">
      <c r="A38" t="s">
        <v>467</v>
      </c>
      <c r="B38" t="s">
        <v>464</v>
      </c>
      <c r="C38" s="1"/>
      <c r="D38" s="1"/>
      <c r="E38" s="29">
        <v>0.5</v>
      </c>
      <c r="G38" t="s">
        <v>511</v>
      </c>
    </row>
    <row r="39" spans="1:7" x14ac:dyDescent="0.2">
      <c r="A39" t="s">
        <v>468</v>
      </c>
      <c r="B39" t="s">
        <v>524</v>
      </c>
      <c r="C39" s="1">
        <v>150</v>
      </c>
      <c r="D39" s="1">
        <v>35</v>
      </c>
      <c r="E39" s="29">
        <f>(C39/(D39/0.06))</f>
        <v>0.25714285714285712</v>
      </c>
      <c r="G39" t="s">
        <v>525</v>
      </c>
    </row>
    <row r="40" spans="1:7" x14ac:dyDescent="0.2">
      <c r="A40" t="s">
        <v>469</v>
      </c>
      <c r="B40" t="s">
        <v>470</v>
      </c>
      <c r="C40" s="1">
        <v>150</v>
      </c>
      <c r="D40" s="1">
        <v>10</v>
      </c>
      <c r="E40" s="29">
        <f>(C40/(D40/0.06))</f>
        <v>0.89999999999999991</v>
      </c>
      <c r="G40" t="s">
        <v>514</v>
      </c>
    </row>
    <row r="41" spans="1:7" x14ac:dyDescent="0.2">
      <c r="A41" t="s">
        <v>385</v>
      </c>
      <c r="B41" t="s">
        <v>387</v>
      </c>
      <c r="C41" s="1"/>
      <c r="D41" s="1"/>
      <c r="E41" s="29">
        <v>3</v>
      </c>
      <c r="G41" t="s">
        <v>515</v>
      </c>
    </row>
    <row r="42" spans="1:7" x14ac:dyDescent="0.2">
      <c r="A42" t="s">
        <v>386</v>
      </c>
      <c r="B42" t="s">
        <v>389</v>
      </c>
      <c r="C42" s="1"/>
      <c r="D42" s="1"/>
      <c r="E42" s="29">
        <v>0</v>
      </c>
      <c r="G42" t="s">
        <v>516</v>
      </c>
    </row>
    <row r="43" spans="1:7" ht="13.5" thickBot="1" x14ac:dyDescent="0.25"/>
    <row r="44" spans="1:7" ht="13.5" thickBot="1" x14ac:dyDescent="0.25">
      <c r="E44" s="18">
        <f>SUM(E36:E42)</f>
        <v>10.870476190476191</v>
      </c>
    </row>
    <row r="46" spans="1:7" x14ac:dyDescent="0.2">
      <c r="A46" s="11" t="s">
        <v>380</v>
      </c>
      <c r="C46" s="2" t="s">
        <v>508</v>
      </c>
      <c r="D46" s="2" t="s">
        <v>507</v>
      </c>
      <c r="E46" s="3" t="s">
        <v>297</v>
      </c>
    </row>
    <row r="47" spans="1:7" x14ac:dyDescent="0.2">
      <c r="A47" t="s">
        <v>388</v>
      </c>
      <c r="B47" t="s">
        <v>390</v>
      </c>
      <c r="C47" s="1">
        <f>D3</f>
        <v>1000</v>
      </c>
      <c r="D47" s="1">
        <v>35</v>
      </c>
      <c r="E47" s="29">
        <f>(C47/(D47/0.06))</f>
        <v>1.7142857142857142</v>
      </c>
      <c r="G47" t="s">
        <v>526</v>
      </c>
    </row>
    <row r="48" spans="1:7" x14ac:dyDescent="0.2">
      <c r="B48" t="s">
        <v>481</v>
      </c>
      <c r="C48" s="1"/>
      <c r="D48" s="1"/>
      <c r="E48" s="29">
        <v>0.5</v>
      </c>
      <c r="G48" t="s">
        <v>513</v>
      </c>
    </row>
    <row r="49" spans="1:7" ht="13.5" thickBot="1" x14ac:dyDescent="0.25"/>
    <row r="50" spans="1:7" ht="15.75" thickBot="1" x14ac:dyDescent="0.3">
      <c r="D50" s="4" t="s">
        <v>394</v>
      </c>
      <c r="E50" s="134">
        <f>SUM(E44:E48)</f>
        <v>13.084761904761905</v>
      </c>
      <c r="F50" s="116" t="s">
        <v>554</v>
      </c>
    </row>
    <row r="53" spans="1:7" x14ac:dyDescent="0.2">
      <c r="A53" t="s">
        <v>125</v>
      </c>
      <c r="C53" s="2" t="s">
        <v>508</v>
      </c>
      <c r="D53" s="2" t="s">
        <v>507</v>
      </c>
      <c r="E53" s="3" t="s">
        <v>297</v>
      </c>
      <c r="G53" t="s">
        <v>134</v>
      </c>
    </row>
    <row r="54" spans="1:7" x14ac:dyDescent="0.2">
      <c r="A54" t="s">
        <v>388</v>
      </c>
      <c r="B54" t="s">
        <v>390</v>
      </c>
      <c r="C54" s="1">
        <f>D3</f>
        <v>1000</v>
      </c>
      <c r="D54" s="1">
        <v>35</v>
      </c>
      <c r="E54" s="29">
        <f t="shared" ref="E54:E59" si="0">(C54/(D54/0.06))</f>
        <v>1.7142857142857142</v>
      </c>
      <c r="G54" t="s">
        <v>526</v>
      </c>
    </row>
    <row r="55" spans="1:7" x14ac:dyDescent="0.2">
      <c r="A55" t="s">
        <v>392</v>
      </c>
      <c r="B55" t="s">
        <v>393</v>
      </c>
      <c r="C55" s="1">
        <v>200</v>
      </c>
      <c r="D55" s="1">
        <v>35</v>
      </c>
      <c r="E55" s="29">
        <f t="shared" si="0"/>
        <v>0.34285714285714286</v>
      </c>
      <c r="G55" t="s">
        <v>517</v>
      </c>
    </row>
    <row r="56" spans="1:7" x14ac:dyDescent="0.2">
      <c r="A56" t="s">
        <v>472</v>
      </c>
      <c r="B56" t="s">
        <v>476</v>
      </c>
      <c r="C56" s="1">
        <v>615</v>
      </c>
      <c r="D56" s="1">
        <v>35</v>
      </c>
      <c r="E56" s="29">
        <f t="shared" si="0"/>
        <v>1.0542857142857143</v>
      </c>
      <c r="G56" t="s">
        <v>529</v>
      </c>
    </row>
    <row r="57" spans="1:7" x14ac:dyDescent="0.2">
      <c r="A57" t="s">
        <v>473</v>
      </c>
      <c r="B57" t="s">
        <v>477</v>
      </c>
      <c r="C57" s="1">
        <v>100</v>
      </c>
      <c r="D57" s="1">
        <v>35</v>
      </c>
      <c r="E57" s="29">
        <f t="shared" si="0"/>
        <v>0.17142857142857143</v>
      </c>
      <c r="G57" t="s">
        <v>530</v>
      </c>
    </row>
    <row r="58" spans="1:7" x14ac:dyDescent="0.2">
      <c r="A58" t="s">
        <v>474</v>
      </c>
      <c r="B58" t="s">
        <v>478</v>
      </c>
      <c r="C58" s="1">
        <f>D3</f>
        <v>1000</v>
      </c>
      <c r="D58" s="1">
        <v>35</v>
      </c>
      <c r="E58" s="29">
        <f t="shared" si="0"/>
        <v>1.7142857142857142</v>
      </c>
      <c r="G58" t="s">
        <v>531</v>
      </c>
    </row>
    <row r="59" spans="1:7" x14ac:dyDescent="0.2">
      <c r="A59" t="s">
        <v>475</v>
      </c>
      <c r="B59" t="s">
        <v>479</v>
      </c>
      <c r="C59" s="1">
        <v>100</v>
      </c>
      <c r="D59" s="1">
        <v>10</v>
      </c>
      <c r="E59" s="29">
        <f t="shared" si="0"/>
        <v>0.6</v>
      </c>
      <c r="G59" t="s">
        <v>532</v>
      </c>
    </row>
    <row r="60" spans="1:7" ht="13.5" thickBot="1" x14ac:dyDescent="0.25"/>
    <row r="61" spans="1:7" ht="15.75" thickBot="1" x14ac:dyDescent="0.3">
      <c r="D61" s="4" t="s">
        <v>537</v>
      </c>
      <c r="E61" s="18">
        <f>SUM(E54:E59)</f>
        <v>5.5971428571428561</v>
      </c>
      <c r="F61" s="116" t="s">
        <v>561</v>
      </c>
    </row>
    <row r="63" spans="1:7" x14ac:dyDescent="0.2">
      <c r="A63" s="11" t="s">
        <v>380</v>
      </c>
      <c r="C63" s="2" t="s">
        <v>508</v>
      </c>
      <c r="D63" s="2" t="s">
        <v>507</v>
      </c>
      <c r="E63" s="3" t="s">
        <v>297</v>
      </c>
      <c r="G63" t="s">
        <v>528</v>
      </c>
    </row>
    <row r="64" spans="1:7" x14ac:dyDescent="0.2">
      <c r="A64" t="s">
        <v>485</v>
      </c>
      <c r="B64" t="s">
        <v>482</v>
      </c>
      <c r="C64" s="1"/>
      <c r="D64" s="1"/>
      <c r="E64" s="29">
        <v>0</v>
      </c>
      <c r="G64" t="s">
        <v>533</v>
      </c>
    </row>
    <row r="65" spans="1:7" ht="15" x14ac:dyDescent="0.25">
      <c r="A65" t="s">
        <v>486</v>
      </c>
      <c r="B65" t="s">
        <v>483</v>
      </c>
      <c r="C65" s="1">
        <f>(2700-((C74*D74) + ((C74-1)*50)))/2</f>
        <v>325</v>
      </c>
      <c r="D65" s="136">
        <v>10</v>
      </c>
      <c r="E65" s="29">
        <f>(C65/(D65/0.06))</f>
        <v>1.9499999999999997</v>
      </c>
      <c r="F65" s="116" t="s">
        <v>571</v>
      </c>
      <c r="G65" t="s">
        <v>534</v>
      </c>
    </row>
    <row r="66" spans="1:7" x14ac:dyDescent="0.2">
      <c r="A66" t="s">
        <v>487</v>
      </c>
      <c r="B66" t="s">
        <v>484</v>
      </c>
      <c r="C66" s="1"/>
      <c r="D66" s="1"/>
      <c r="E66" s="29">
        <v>0.5</v>
      </c>
      <c r="G66" t="s">
        <v>513</v>
      </c>
    </row>
    <row r="67" spans="1:7" x14ac:dyDescent="0.2">
      <c r="A67" t="s">
        <v>488</v>
      </c>
      <c r="B67" t="s">
        <v>490</v>
      </c>
      <c r="C67" s="1">
        <v>100</v>
      </c>
      <c r="D67" s="136">
        <v>30</v>
      </c>
      <c r="E67" s="29">
        <f>(C67/(D67/0.06))</f>
        <v>0.2</v>
      </c>
      <c r="G67" t="s">
        <v>535</v>
      </c>
    </row>
    <row r="68" spans="1:7" x14ac:dyDescent="0.2">
      <c r="A68" t="s">
        <v>489</v>
      </c>
      <c r="B68" t="s">
        <v>491</v>
      </c>
      <c r="C68" s="1">
        <f>C3</f>
        <v>1100</v>
      </c>
      <c r="D68" s="1">
        <v>30</v>
      </c>
      <c r="E68" s="29">
        <f>(C68/(D68/0.06))</f>
        <v>2.2000000000000002</v>
      </c>
      <c r="G68" t="s">
        <v>536</v>
      </c>
    </row>
    <row r="69" spans="1:7" ht="13.5" thickBot="1" x14ac:dyDescent="0.25"/>
    <row r="70" spans="1:7" ht="13.5" thickBot="1" x14ac:dyDescent="0.25">
      <c r="D70" s="4" t="s">
        <v>538</v>
      </c>
      <c r="E70" s="18">
        <f>SUM(E64:E68)</f>
        <v>4.8499999999999996</v>
      </c>
    </row>
    <row r="71" spans="1:7" ht="13.5" thickBot="1" x14ac:dyDescent="0.25">
      <c r="D71" s="4"/>
    </row>
    <row r="72" spans="1:7" ht="15.75" thickBot="1" x14ac:dyDescent="0.3">
      <c r="D72" s="4" t="s">
        <v>539</v>
      </c>
      <c r="E72" s="18">
        <f>E70+E61</f>
        <v>10.447142857142856</v>
      </c>
      <c r="F72" s="116" t="s">
        <v>556</v>
      </c>
    </row>
    <row r="73" spans="1:7" ht="13.5" thickBot="1" x14ac:dyDescent="0.25"/>
    <row r="74" spans="1:7" ht="13.5" thickBot="1" x14ac:dyDescent="0.25">
      <c r="B74" t="s">
        <v>480</v>
      </c>
      <c r="C74" s="8">
        <f>FLOOR(2700/D3,1)</f>
        <v>2</v>
      </c>
      <c r="D74">
        <v>1000</v>
      </c>
    </row>
    <row r="76" spans="1:7" x14ac:dyDescent="0.2">
      <c r="A76" s="11" t="s">
        <v>380</v>
      </c>
      <c r="C76" s="2" t="s">
        <v>508</v>
      </c>
      <c r="D76" s="2" t="s">
        <v>507</v>
      </c>
      <c r="E76" s="3" t="s">
        <v>297</v>
      </c>
      <c r="G76" t="s">
        <v>540</v>
      </c>
    </row>
    <row r="77" spans="1:7" x14ac:dyDescent="0.2">
      <c r="A77" t="s">
        <v>492</v>
      </c>
      <c r="B77" t="s">
        <v>494</v>
      </c>
      <c r="C77" s="1">
        <v>170</v>
      </c>
      <c r="D77" s="140">
        <f>E3</f>
        <v>12</v>
      </c>
      <c r="E77" s="29">
        <f>(C77/(D77/0.06))</f>
        <v>0.85</v>
      </c>
      <c r="G77" t="s">
        <v>541</v>
      </c>
    </row>
    <row r="78" spans="1:7" x14ac:dyDescent="0.2">
      <c r="A78" t="s">
        <v>493</v>
      </c>
      <c r="B78" t="s">
        <v>495</v>
      </c>
      <c r="C78" s="1">
        <f>C3</f>
        <v>1100</v>
      </c>
      <c r="D78" s="141">
        <f>E3</f>
        <v>12</v>
      </c>
      <c r="E78" s="29">
        <f>(C78/(D78/0.06))</f>
        <v>5.5</v>
      </c>
      <c r="G78" t="s">
        <v>542</v>
      </c>
    </row>
    <row r="79" spans="1:7" ht="13.5" thickBot="1" x14ac:dyDescent="0.25">
      <c r="A79" s="11"/>
    </row>
    <row r="80" spans="1:7" ht="15.75" thickBot="1" x14ac:dyDescent="0.3">
      <c r="A80" s="11"/>
      <c r="D80" s="4" t="s">
        <v>543</v>
      </c>
      <c r="E80" s="18">
        <f>SUM(E77:E78)</f>
        <v>6.35</v>
      </c>
      <c r="F80" s="116" t="s">
        <v>576</v>
      </c>
    </row>
    <row r="81" spans="1:7" ht="13.5" thickBot="1" x14ac:dyDescent="0.25">
      <c r="A81" s="11"/>
    </row>
    <row r="82" spans="1:7" ht="13.5" thickBot="1" x14ac:dyDescent="0.25">
      <c r="A82" s="11"/>
      <c r="D82" s="4" t="s">
        <v>544</v>
      </c>
      <c r="E82" s="18">
        <f>E80+E70</f>
        <v>11.2</v>
      </c>
    </row>
    <row r="84" spans="1:7" x14ac:dyDescent="0.2">
      <c r="C84" s="2" t="s">
        <v>508</v>
      </c>
      <c r="D84" s="2" t="s">
        <v>507</v>
      </c>
      <c r="E84" s="3" t="s">
        <v>297</v>
      </c>
    </row>
    <row r="85" spans="1:7" ht="15" x14ac:dyDescent="0.25">
      <c r="A85" t="s">
        <v>492</v>
      </c>
      <c r="B85" t="s">
        <v>494</v>
      </c>
      <c r="C85" s="1">
        <v>170</v>
      </c>
      <c r="D85" s="140">
        <f>E3</f>
        <v>12</v>
      </c>
      <c r="E85" s="29">
        <f>(C85/(D85/0.06))</f>
        <v>0.85</v>
      </c>
      <c r="F85" s="116" t="s">
        <v>560</v>
      </c>
      <c r="G85" t="s">
        <v>541</v>
      </c>
    </row>
    <row r="86" spans="1:7" x14ac:dyDescent="0.2">
      <c r="A86" t="s">
        <v>493</v>
      </c>
      <c r="B86" t="s">
        <v>495</v>
      </c>
      <c r="C86" s="1">
        <f>C3</f>
        <v>1100</v>
      </c>
      <c r="D86" s="141">
        <f>E3</f>
        <v>12</v>
      </c>
      <c r="E86" s="29">
        <f>(C86/(D86/0.06))</f>
        <v>5.5</v>
      </c>
      <c r="G86" t="s">
        <v>542</v>
      </c>
    </row>
    <row r="87" spans="1:7" x14ac:dyDescent="0.2">
      <c r="A87" t="s">
        <v>496</v>
      </c>
      <c r="B87" t="s">
        <v>498</v>
      </c>
      <c r="C87" s="1">
        <v>795</v>
      </c>
      <c r="D87" s="140">
        <f>E3</f>
        <v>12</v>
      </c>
      <c r="E87" s="29">
        <f>(C87/(D87/0.06))</f>
        <v>3.9750000000000001</v>
      </c>
      <c r="G87" t="s">
        <v>545</v>
      </c>
    </row>
    <row r="88" spans="1:7" x14ac:dyDescent="0.2">
      <c r="A88" t="s">
        <v>497</v>
      </c>
      <c r="B88" t="s">
        <v>499</v>
      </c>
      <c r="C88" s="1">
        <f>C3</f>
        <v>1100</v>
      </c>
      <c r="D88" s="141">
        <f>E3</f>
        <v>12</v>
      </c>
      <c r="E88" s="29">
        <f>(C88/(D88/0.06))</f>
        <v>5.5</v>
      </c>
      <c r="G88" t="s">
        <v>546</v>
      </c>
    </row>
    <row r="89" spans="1:7" ht="13.5" thickBot="1" x14ac:dyDescent="0.25"/>
    <row r="90" spans="1:7" ht="15.75" thickBot="1" x14ac:dyDescent="0.3">
      <c r="D90" s="4" t="s">
        <v>547</v>
      </c>
      <c r="E90" s="18">
        <f>SUM(E85:E88)</f>
        <v>15.824999999999999</v>
      </c>
      <c r="F90" s="116" t="s">
        <v>558</v>
      </c>
    </row>
    <row r="92" spans="1:7" x14ac:dyDescent="0.2">
      <c r="C92" s="2" t="s">
        <v>508</v>
      </c>
      <c r="D92" s="2" t="s">
        <v>507</v>
      </c>
      <c r="E92" s="3" t="s">
        <v>297</v>
      </c>
    </row>
    <row r="93" spans="1:7" x14ac:dyDescent="0.2">
      <c r="A93" t="s">
        <v>500</v>
      </c>
      <c r="B93" t="s">
        <v>502</v>
      </c>
      <c r="C93" s="1"/>
      <c r="D93" s="1"/>
      <c r="E93" s="29">
        <v>0</v>
      </c>
      <c r="G93" t="s">
        <v>548</v>
      </c>
    </row>
    <row r="94" spans="1:7" x14ac:dyDescent="0.2">
      <c r="B94" t="s">
        <v>504</v>
      </c>
      <c r="C94" s="1"/>
      <c r="D94" s="1"/>
      <c r="E94" s="29">
        <v>8</v>
      </c>
      <c r="G94" t="s">
        <v>549</v>
      </c>
    </row>
    <row r="95" spans="1:7" x14ac:dyDescent="0.2">
      <c r="A95" t="s">
        <v>501</v>
      </c>
      <c r="B95" t="s">
        <v>503</v>
      </c>
      <c r="C95" s="1">
        <v>5000</v>
      </c>
      <c r="D95" s="1">
        <v>30</v>
      </c>
      <c r="E95" s="29">
        <f>(C95/(D95/0.06))</f>
        <v>10</v>
      </c>
      <c r="G95" t="s">
        <v>550</v>
      </c>
    </row>
    <row r="96" spans="1:7" x14ac:dyDescent="0.2">
      <c r="B96" t="s">
        <v>504</v>
      </c>
      <c r="C96" s="1"/>
      <c r="D96" s="1"/>
      <c r="E96" s="29">
        <v>8</v>
      </c>
      <c r="G96" t="s">
        <v>549</v>
      </c>
    </row>
    <row r="97" spans="2:7" ht="13.5" thickBot="1" x14ac:dyDescent="0.25"/>
    <row r="98" spans="2:7" ht="13.5" thickBot="1" x14ac:dyDescent="0.25">
      <c r="E98" s="18">
        <f>SUM(E93:E97)</f>
        <v>26</v>
      </c>
    </row>
    <row r="99" spans="2:7" ht="13.5" thickBot="1" x14ac:dyDescent="0.25"/>
    <row r="100" spans="2:7" ht="15.75" thickBot="1" x14ac:dyDescent="0.3">
      <c r="D100" s="4" t="s">
        <v>551</v>
      </c>
      <c r="E100" s="18">
        <f>SUM(E93:E95)</f>
        <v>18</v>
      </c>
      <c r="F100" s="116" t="s">
        <v>575</v>
      </c>
      <c r="G100" t="s">
        <v>552</v>
      </c>
    </row>
    <row r="103" spans="2:7" x14ac:dyDescent="0.2">
      <c r="B103" t="s">
        <v>553</v>
      </c>
      <c r="E103" s="3" t="s">
        <v>297</v>
      </c>
    </row>
    <row r="104" spans="2:7" ht="15" x14ac:dyDescent="0.25">
      <c r="B104" t="str">
        <f>C74&amp;" PIECES OF GLASS IN ROW TAKES "</f>
        <v xml:space="preserve">2 PIECES OF GLASS IN ROW TAKES </v>
      </c>
      <c r="C104" s="116" t="s">
        <v>554</v>
      </c>
      <c r="D104" t="str">
        <f>"X "&amp;C74</f>
        <v>X 2</v>
      </c>
      <c r="E104" s="29">
        <f>2*E50</f>
        <v>26.16952380952381</v>
      </c>
    </row>
    <row r="105" spans="2:7" ht="15" x14ac:dyDescent="0.25">
      <c r="B105" t="s">
        <v>555</v>
      </c>
      <c r="C105" s="116" t="s">
        <v>556</v>
      </c>
      <c r="E105" s="29">
        <f>E72</f>
        <v>10.447142857142856</v>
      </c>
    </row>
    <row r="106" spans="2:7" ht="15" x14ac:dyDescent="0.25">
      <c r="B106" t="s">
        <v>574</v>
      </c>
      <c r="C106" s="116" t="s">
        <v>557</v>
      </c>
      <c r="E106" s="29">
        <f>E50-E72</f>
        <v>2.6376190476190491</v>
      </c>
      <c r="F106" s="116" t="s">
        <v>562</v>
      </c>
      <c r="G106" t="str">
        <f>IF(E106&gt;=0,"YES","NO")</f>
        <v>YES</v>
      </c>
    </row>
    <row r="107" spans="2:7" ht="15" x14ac:dyDescent="0.25">
      <c r="B107" t="s">
        <v>559</v>
      </c>
      <c r="C107" s="116" t="s">
        <v>558</v>
      </c>
      <c r="E107" s="29">
        <f>E90</f>
        <v>15.824999999999999</v>
      </c>
      <c r="F107" s="116" t="s">
        <v>564</v>
      </c>
    </row>
    <row r="108" spans="2:7" ht="15" x14ac:dyDescent="0.25">
      <c r="B108" t="s">
        <v>563</v>
      </c>
      <c r="C108" s="116" t="s">
        <v>570</v>
      </c>
      <c r="E108" s="29">
        <f>E50+E72+E106+E85</f>
        <v>27.019523809523811</v>
      </c>
      <c r="F108" s="116" t="s">
        <v>565</v>
      </c>
    </row>
    <row r="109" spans="2:7" ht="15" x14ac:dyDescent="0.25">
      <c r="B109" t="s">
        <v>567</v>
      </c>
      <c r="C109" s="116" t="s">
        <v>566</v>
      </c>
      <c r="E109" s="29">
        <f>E108-E107</f>
        <v>11.194523809523812</v>
      </c>
      <c r="F109" s="116" t="s">
        <v>569</v>
      </c>
    </row>
    <row r="110" spans="2:7" ht="15" x14ac:dyDescent="0.25">
      <c r="B110" t="s">
        <v>568</v>
      </c>
      <c r="C110" s="116" t="s">
        <v>572</v>
      </c>
      <c r="E110" s="29">
        <f>E50+E106+E61+E65</f>
        <v>23.269523809523808</v>
      </c>
    </row>
    <row r="111" spans="2:7" ht="15" x14ac:dyDescent="0.25">
      <c r="B111" t="s">
        <v>573</v>
      </c>
      <c r="C111" s="116" t="s">
        <v>577</v>
      </c>
      <c r="E111" s="29">
        <f>E100+E80</f>
        <v>24.35</v>
      </c>
      <c r="G111" t="str">
        <f>IF((E111-E110)&lt;0,"YES","NO")</f>
        <v>NO</v>
      </c>
    </row>
    <row r="112" spans="2:7" ht="15" x14ac:dyDescent="0.25">
      <c r="B112" t="str">
        <f>"WITH "&amp;C74&amp;" PIECES IN ROW, WILL ADD THIS MUCH TO CYCLE TIME"</f>
        <v>WITH 2 PIECES IN ROW, WILL ADD THIS MUCH TO CYCLE TIME</v>
      </c>
      <c r="E112" s="29">
        <f>(E111-E110)/C74</f>
        <v>0.54023809523809696</v>
      </c>
      <c r="F112" s="116" t="s">
        <v>578</v>
      </c>
    </row>
    <row r="114" spans="2:5" ht="13.5" thickBot="1" x14ac:dyDescent="0.25">
      <c r="B114" t="str">
        <f>"CYCLE TIME FOR "&amp;C3/1000&amp;"M BY "&amp;D3/1000&amp;"M GLASS,"</f>
        <v>CYCLE TIME FOR 1.1M BY 1M GLASS,</v>
      </c>
    </row>
    <row r="115" spans="2:5" ht="15.75" thickBot="1" x14ac:dyDescent="0.3">
      <c r="B115" t="str">
        <f>"WITH A WASHER SPEED OF "&amp;E3&amp;" IS:"</f>
        <v>WITH A WASHER SPEED OF 12 IS:</v>
      </c>
      <c r="C115" s="116" t="s">
        <v>579</v>
      </c>
      <c r="E115" s="135">
        <f>E50+E112</f>
        <v>13.625000000000002</v>
      </c>
    </row>
  </sheetData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61"/>
  <sheetViews>
    <sheetView topLeftCell="A21" workbookViewId="0">
      <selection activeCell="K35" sqref="K35"/>
    </sheetView>
  </sheetViews>
  <sheetFormatPr defaultRowHeight="12.75" x14ac:dyDescent="0.2"/>
  <cols>
    <col min="1" max="1" width="3.7109375" customWidth="1"/>
    <col min="2" max="2" width="72.42578125" bestFit="1" customWidth="1"/>
    <col min="3" max="3" width="19.42578125" bestFit="1" customWidth="1"/>
    <col min="4" max="5" width="25.7109375" customWidth="1"/>
    <col min="7" max="7" width="14.42578125" customWidth="1"/>
  </cols>
  <sheetData>
    <row r="1" spans="1:6" x14ac:dyDescent="0.2">
      <c r="A1" t="s">
        <v>412</v>
      </c>
    </row>
    <row r="2" spans="1:6" ht="15" x14ac:dyDescent="0.25">
      <c r="A2">
        <v>1</v>
      </c>
      <c r="B2" s="112" t="s">
        <v>654</v>
      </c>
    </row>
    <row r="3" spans="1:6" ht="15" x14ac:dyDescent="0.25">
      <c r="A3">
        <v>2</v>
      </c>
      <c r="B3" s="112" t="s">
        <v>622</v>
      </c>
    </row>
    <row r="4" spans="1:6" ht="15" x14ac:dyDescent="0.25">
      <c r="A4">
        <v>3</v>
      </c>
      <c r="B4" s="112" t="s">
        <v>655</v>
      </c>
    </row>
    <row r="5" spans="1:6" ht="15" x14ac:dyDescent="0.25">
      <c r="A5">
        <v>4</v>
      </c>
      <c r="B5" s="112" t="s">
        <v>413</v>
      </c>
    </row>
    <row r="6" spans="1:6" ht="15" x14ac:dyDescent="0.25">
      <c r="A6">
        <v>5</v>
      </c>
      <c r="B6" s="112" t="s">
        <v>414</v>
      </c>
    </row>
    <row r="7" spans="1:6" ht="15" x14ac:dyDescent="0.25">
      <c r="A7">
        <v>6</v>
      </c>
      <c r="B7" s="112" t="s">
        <v>415</v>
      </c>
      <c r="D7" s="112" t="s">
        <v>656</v>
      </c>
      <c r="F7" s="112" t="s">
        <v>657</v>
      </c>
    </row>
    <row r="8" spans="1:6" ht="15" x14ac:dyDescent="0.25">
      <c r="B8" s="116"/>
      <c r="D8" s="112" t="s">
        <v>658</v>
      </c>
      <c r="F8" s="112" t="s">
        <v>659</v>
      </c>
    </row>
    <row r="9" spans="1:6" ht="15" x14ac:dyDescent="0.25">
      <c r="B9" s="116"/>
      <c r="D9" s="112" t="s">
        <v>660</v>
      </c>
      <c r="F9" s="112" t="s">
        <v>661</v>
      </c>
    </row>
    <row r="10" spans="1:6" ht="15" x14ac:dyDescent="0.25">
      <c r="A10">
        <v>7</v>
      </c>
      <c r="B10" s="112" t="s">
        <v>662</v>
      </c>
      <c r="D10" s="112" t="s">
        <v>663</v>
      </c>
      <c r="F10" s="112" t="s">
        <v>664</v>
      </c>
    </row>
    <row r="11" spans="1:6" ht="15" x14ac:dyDescent="0.25">
      <c r="A11">
        <v>8</v>
      </c>
      <c r="B11" s="112" t="s">
        <v>665</v>
      </c>
    </row>
    <row r="12" spans="1:6" ht="15" x14ac:dyDescent="0.25">
      <c r="A12">
        <v>9</v>
      </c>
      <c r="B12" s="112" t="s">
        <v>416</v>
      </c>
    </row>
    <row r="13" spans="1:6" ht="15" x14ac:dyDescent="0.25">
      <c r="A13">
        <v>10</v>
      </c>
      <c r="B13" s="112" t="s">
        <v>417</v>
      </c>
    </row>
    <row r="14" spans="1:6" ht="15" x14ac:dyDescent="0.25">
      <c r="A14">
        <v>11</v>
      </c>
      <c r="B14" s="112" t="s">
        <v>418</v>
      </c>
    </row>
    <row r="15" spans="1:6" ht="15" x14ac:dyDescent="0.25">
      <c r="A15">
        <v>12</v>
      </c>
      <c r="B15" s="112" t="s">
        <v>666</v>
      </c>
    </row>
    <row r="16" spans="1:6" ht="15" x14ac:dyDescent="0.25">
      <c r="A16">
        <v>13</v>
      </c>
      <c r="B16" s="112" t="s">
        <v>419</v>
      </c>
    </row>
    <row r="17" spans="1:8" ht="15" x14ac:dyDescent="0.25">
      <c r="A17">
        <v>14</v>
      </c>
      <c r="B17" s="112" t="s">
        <v>420</v>
      </c>
    </row>
    <row r="24" spans="1:8" x14ac:dyDescent="0.2">
      <c r="C24" t="s">
        <v>694</v>
      </c>
      <c r="D24" t="s">
        <v>706</v>
      </c>
      <c r="E24" t="s">
        <v>709</v>
      </c>
      <c r="F24" t="s">
        <v>707</v>
      </c>
    </row>
    <row r="25" spans="1:8" x14ac:dyDescent="0.2">
      <c r="C25" t="s">
        <v>695</v>
      </c>
      <c r="D25" t="s">
        <v>718</v>
      </c>
    </row>
    <row r="26" spans="1:8" ht="15" x14ac:dyDescent="0.25">
      <c r="C26" s="112" t="s">
        <v>1121</v>
      </c>
      <c r="D26" s="112" t="s">
        <v>719</v>
      </c>
      <c r="E26" s="112" t="s">
        <v>710</v>
      </c>
      <c r="F26" s="112" t="s">
        <v>1122</v>
      </c>
      <c r="G26" s="112"/>
      <c r="H26" s="112" t="s">
        <v>1494</v>
      </c>
    </row>
    <row r="27" spans="1:8" ht="15" x14ac:dyDescent="0.25">
      <c r="C27" s="112" t="s">
        <v>1474</v>
      </c>
      <c r="D27" s="112" t="s">
        <v>697</v>
      </c>
      <c r="E27" s="112" t="s">
        <v>711</v>
      </c>
      <c r="F27" s="112" t="s">
        <v>1123</v>
      </c>
      <c r="G27" s="112"/>
      <c r="H27" s="112"/>
    </row>
    <row r="28" spans="1:8" x14ac:dyDescent="0.2">
      <c r="C28" t="s">
        <v>702</v>
      </c>
      <c r="D28" t="s">
        <v>720</v>
      </c>
    </row>
    <row r="29" spans="1:8" ht="15" x14ac:dyDescent="0.25">
      <c r="C29" s="112" t="s">
        <v>1126</v>
      </c>
      <c r="D29" s="112" t="s">
        <v>727</v>
      </c>
      <c r="E29" s="112" t="s">
        <v>710</v>
      </c>
      <c r="F29" s="112" t="s">
        <v>1124</v>
      </c>
      <c r="G29" s="112"/>
      <c r="H29" s="112" t="s">
        <v>1495</v>
      </c>
    </row>
    <row r="30" spans="1:8" ht="15" x14ac:dyDescent="0.25">
      <c r="C30" s="112" t="s">
        <v>1475</v>
      </c>
      <c r="D30" s="112" t="s">
        <v>736</v>
      </c>
      <c r="E30" s="112" t="s">
        <v>711</v>
      </c>
      <c r="F30" s="112" t="s">
        <v>1125</v>
      </c>
      <c r="G30" s="112"/>
      <c r="H30" s="112"/>
    </row>
    <row r="31" spans="1:8" x14ac:dyDescent="0.2">
      <c r="C31" t="s">
        <v>703</v>
      </c>
      <c r="D31" t="s">
        <v>721</v>
      </c>
    </row>
    <row r="32" spans="1:8" ht="15" x14ac:dyDescent="0.25">
      <c r="C32" s="112" t="s">
        <v>1130</v>
      </c>
      <c r="D32" s="112" t="s">
        <v>728</v>
      </c>
      <c r="E32" s="112" t="s">
        <v>710</v>
      </c>
      <c r="F32" s="112" t="s">
        <v>1127</v>
      </c>
      <c r="G32" s="112"/>
      <c r="H32" s="112" t="s">
        <v>1496</v>
      </c>
    </row>
    <row r="33" spans="3:8" ht="15" x14ac:dyDescent="0.25">
      <c r="C33" s="112" t="s">
        <v>1476</v>
      </c>
      <c r="D33" s="112" t="s">
        <v>737</v>
      </c>
      <c r="E33" s="112" t="s">
        <v>711</v>
      </c>
      <c r="F33" s="112" t="s">
        <v>1129</v>
      </c>
      <c r="G33" s="112"/>
      <c r="H33" s="112"/>
    </row>
    <row r="34" spans="3:8" ht="15" x14ac:dyDescent="0.25">
      <c r="C34" s="112" t="s">
        <v>1477</v>
      </c>
      <c r="D34" s="112" t="s">
        <v>729</v>
      </c>
      <c r="E34" s="112" t="s">
        <v>710</v>
      </c>
      <c r="F34" s="112" t="s">
        <v>1128</v>
      </c>
      <c r="G34" s="112"/>
      <c r="H34" s="112"/>
    </row>
    <row r="35" spans="3:8" x14ac:dyDescent="0.2">
      <c r="C35" t="s">
        <v>705</v>
      </c>
      <c r="D35" t="s">
        <v>722</v>
      </c>
    </row>
    <row r="36" spans="3:8" ht="15" x14ac:dyDescent="0.25">
      <c r="C36" s="112" t="s">
        <v>1478</v>
      </c>
      <c r="D36" s="112" t="s">
        <v>730</v>
      </c>
      <c r="E36" s="112" t="s">
        <v>710</v>
      </c>
      <c r="F36" s="112" t="s">
        <v>1131</v>
      </c>
      <c r="G36" s="112"/>
      <c r="H36" s="112" t="s">
        <v>1190</v>
      </c>
    </row>
    <row r="37" spans="3:8" ht="15" x14ac:dyDescent="0.25">
      <c r="C37" s="112" t="s">
        <v>1479</v>
      </c>
      <c r="D37" s="112" t="s">
        <v>704</v>
      </c>
      <c r="E37" s="112" t="s">
        <v>710</v>
      </c>
      <c r="F37" s="112" t="s">
        <v>1480</v>
      </c>
      <c r="G37" s="112"/>
      <c r="H37" s="112"/>
    </row>
    <row r="38" spans="3:8" ht="15" x14ac:dyDescent="0.25">
      <c r="C38" s="112" t="s">
        <v>1611</v>
      </c>
      <c r="D38" s="112" t="s">
        <v>1612</v>
      </c>
      <c r="E38" s="112" t="s">
        <v>710</v>
      </c>
      <c r="F38" s="112" t="s">
        <v>1613</v>
      </c>
      <c r="G38" s="112"/>
      <c r="H38" s="112"/>
    </row>
    <row r="39" spans="3:8" ht="15" x14ac:dyDescent="0.25">
      <c r="C39" s="112" t="s">
        <v>1614</v>
      </c>
      <c r="D39" s="112" t="s">
        <v>1615</v>
      </c>
      <c r="E39" s="112" t="s">
        <v>711</v>
      </c>
      <c r="F39" s="112" t="s">
        <v>1616</v>
      </c>
      <c r="G39" s="112"/>
      <c r="H39" s="112"/>
    </row>
    <row r="40" spans="3:8" x14ac:dyDescent="0.2">
      <c r="C40" t="s">
        <v>714</v>
      </c>
      <c r="D40" t="s">
        <v>723</v>
      </c>
    </row>
    <row r="41" spans="3:8" ht="15" x14ac:dyDescent="0.25">
      <c r="C41" s="112" t="s">
        <v>1481</v>
      </c>
      <c r="D41" s="112" t="s">
        <v>731</v>
      </c>
      <c r="E41" s="112" t="s">
        <v>710</v>
      </c>
      <c r="F41" s="112" t="s">
        <v>1132</v>
      </c>
      <c r="G41" s="112"/>
      <c r="H41" s="112" t="s">
        <v>1213</v>
      </c>
    </row>
    <row r="42" spans="3:8" ht="15" x14ac:dyDescent="0.25">
      <c r="C42" s="112" t="s">
        <v>1483</v>
      </c>
      <c r="D42" s="112" t="s">
        <v>700</v>
      </c>
      <c r="E42" s="112" t="s">
        <v>711</v>
      </c>
      <c r="F42" s="112" t="s">
        <v>1134</v>
      </c>
      <c r="G42" s="112"/>
      <c r="H42" s="112"/>
    </row>
    <row r="43" spans="3:8" ht="15" x14ac:dyDescent="0.25">
      <c r="C43" s="112" t="s">
        <v>1484</v>
      </c>
      <c r="D43" s="112" t="s">
        <v>732</v>
      </c>
      <c r="E43" s="112" t="s">
        <v>710</v>
      </c>
      <c r="F43" s="112" t="s">
        <v>1135</v>
      </c>
      <c r="G43" s="112"/>
      <c r="H43" s="112"/>
    </row>
    <row r="44" spans="3:8" ht="15" x14ac:dyDescent="0.25">
      <c r="C44" s="112" t="s">
        <v>1486</v>
      </c>
      <c r="D44" s="112" t="s">
        <v>733</v>
      </c>
      <c r="E44" s="112" t="s">
        <v>710</v>
      </c>
      <c r="F44" s="112" t="s">
        <v>1482</v>
      </c>
      <c r="G44" s="112"/>
      <c r="H44" s="112"/>
    </row>
    <row r="45" spans="3:8" ht="15" x14ac:dyDescent="0.25">
      <c r="C45" s="112" t="s">
        <v>1487</v>
      </c>
      <c r="D45" s="112" t="s">
        <v>712</v>
      </c>
      <c r="E45" s="112" t="s">
        <v>711</v>
      </c>
      <c r="F45" s="112" t="s">
        <v>1145</v>
      </c>
      <c r="G45" s="112"/>
      <c r="H45" s="112"/>
    </row>
    <row r="46" spans="3:8" ht="15" x14ac:dyDescent="0.25">
      <c r="C46" s="112" t="s">
        <v>1488</v>
      </c>
      <c r="D46" s="112" t="s">
        <v>734</v>
      </c>
      <c r="E46" s="112" t="s">
        <v>710</v>
      </c>
      <c r="F46" s="112" t="s">
        <v>1485</v>
      </c>
      <c r="G46" s="112"/>
      <c r="H46" s="112"/>
    </row>
    <row r="47" spans="3:8" x14ac:dyDescent="0.2">
      <c r="C47" t="s">
        <v>715</v>
      </c>
      <c r="D47" t="s">
        <v>724</v>
      </c>
    </row>
    <row r="48" spans="3:8" ht="15" x14ac:dyDescent="0.25">
      <c r="C48" s="112" t="s">
        <v>698</v>
      </c>
      <c r="D48" s="112" t="s">
        <v>735</v>
      </c>
      <c r="E48" s="112" t="s">
        <v>710</v>
      </c>
      <c r="F48" s="112" t="s">
        <v>1136</v>
      </c>
      <c r="G48" s="112"/>
      <c r="H48" s="112" t="s">
        <v>1497</v>
      </c>
    </row>
    <row r="49" spans="3:8" ht="15" x14ac:dyDescent="0.25">
      <c r="C49" s="112" t="s">
        <v>1133</v>
      </c>
      <c r="D49" s="112" t="s">
        <v>713</v>
      </c>
      <c r="E49" s="112" t="s">
        <v>711</v>
      </c>
      <c r="F49" s="112" t="s">
        <v>1137</v>
      </c>
      <c r="G49" s="112"/>
      <c r="H49" s="112"/>
    </row>
    <row r="50" spans="3:8" ht="15" x14ac:dyDescent="0.25">
      <c r="C50" s="112" t="s">
        <v>1511</v>
      </c>
      <c r="D50" s="112" t="s">
        <v>701</v>
      </c>
      <c r="E50" s="112" t="s">
        <v>711</v>
      </c>
      <c r="F50" s="112" t="s">
        <v>1500</v>
      </c>
      <c r="G50" s="112"/>
      <c r="H50" s="112"/>
    </row>
    <row r="51" spans="3:8" x14ac:dyDescent="0.2">
      <c r="C51" t="s">
        <v>716</v>
      </c>
      <c r="D51" t="s">
        <v>725</v>
      </c>
    </row>
    <row r="52" spans="3:8" ht="15" x14ac:dyDescent="0.25">
      <c r="C52" s="112" t="s">
        <v>1138</v>
      </c>
      <c r="D52" s="112" t="s">
        <v>1489</v>
      </c>
      <c r="E52" s="112" t="s">
        <v>710</v>
      </c>
      <c r="F52" s="112" t="s">
        <v>1139</v>
      </c>
      <c r="G52" s="112"/>
      <c r="H52" s="112" t="s">
        <v>1498</v>
      </c>
    </row>
    <row r="53" spans="3:8" ht="15" x14ac:dyDescent="0.25">
      <c r="C53" s="112" t="s">
        <v>1491</v>
      </c>
      <c r="D53" s="112" t="s">
        <v>738</v>
      </c>
      <c r="E53" s="112" t="s">
        <v>711</v>
      </c>
      <c r="F53" s="112" t="s">
        <v>1141</v>
      </c>
      <c r="G53" s="112"/>
      <c r="H53" s="112"/>
    </row>
    <row r="54" spans="3:8" x14ac:dyDescent="0.2">
      <c r="C54" t="s">
        <v>717</v>
      </c>
      <c r="D54" t="s">
        <v>726</v>
      </c>
    </row>
    <row r="55" spans="3:8" ht="15" x14ac:dyDescent="0.25">
      <c r="C55" s="112" t="s">
        <v>1140</v>
      </c>
      <c r="D55" s="112" t="s">
        <v>1490</v>
      </c>
      <c r="E55" s="112" t="s">
        <v>710</v>
      </c>
      <c r="F55" s="112" t="s">
        <v>1502</v>
      </c>
      <c r="G55" s="112"/>
      <c r="H55" s="112" t="s">
        <v>1499</v>
      </c>
    </row>
    <row r="56" spans="3:8" ht="15" x14ac:dyDescent="0.25">
      <c r="C56" s="112" t="s">
        <v>1492</v>
      </c>
      <c r="D56" s="112" t="s">
        <v>1493</v>
      </c>
      <c r="E56" s="112" t="s">
        <v>711</v>
      </c>
      <c r="F56" s="112" t="s">
        <v>1508</v>
      </c>
      <c r="G56" s="112"/>
      <c r="H56" s="112"/>
    </row>
    <row r="57" spans="3:8" ht="15" x14ac:dyDescent="0.25">
      <c r="C57" s="112" t="s">
        <v>1512</v>
      </c>
      <c r="D57" s="112" t="s">
        <v>1509</v>
      </c>
      <c r="E57" s="112" t="s">
        <v>711</v>
      </c>
      <c r="F57" s="112" t="s">
        <v>1510</v>
      </c>
      <c r="G57" s="112"/>
      <c r="H57" s="112"/>
    </row>
    <row r="58" spans="3:8" x14ac:dyDescent="0.2">
      <c r="C58" t="s">
        <v>1506</v>
      </c>
      <c r="D58" t="s">
        <v>696</v>
      </c>
    </row>
    <row r="59" spans="3:8" ht="15" x14ac:dyDescent="0.25">
      <c r="C59" s="112"/>
      <c r="D59" s="112"/>
      <c r="E59" s="112"/>
      <c r="F59" s="112" t="s">
        <v>1503</v>
      </c>
      <c r="G59" s="112"/>
      <c r="H59" s="112" t="s">
        <v>1501</v>
      </c>
    </row>
    <row r="60" spans="3:8" x14ac:dyDescent="0.2">
      <c r="C60" t="s">
        <v>1507</v>
      </c>
      <c r="D60" t="s">
        <v>699</v>
      </c>
    </row>
    <row r="61" spans="3:8" ht="15" x14ac:dyDescent="0.25">
      <c r="C61" s="112"/>
      <c r="D61" s="112"/>
      <c r="E61" s="112"/>
      <c r="F61" s="112" t="s">
        <v>1505</v>
      </c>
      <c r="G61" s="112"/>
      <c r="H61" s="112" t="s">
        <v>1504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W69"/>
  <sheetViews>
    <sheetView topLeftCell="A41" zoomScaleNormal="100" workbookViewId="0">
      <selection activeCell="H77" sqref="H77"/>
    </sheetView>
  </sheetViews>
  <sheetFormatPr defaultRowHeight="12.75" x14ac:dyDescent="0.2"/>
  <sheetData>
    <row r="2" spans="1:13" x14ac:dyDescent="0.2">
      <c r="A2" t="s">
        <v>582</v>
      </c>
    </row>
    <row r="3" spans="1:13" x14ac:dyDescent="0.2">
      <c r="A3" t="s">
        <v>586</v>
      </c>
    </row>
    <row r="4" spans="1:13" x14ac:dyDescent="0.2">
      <c r="A4" t="s">
        <v>583</v>
      </c>
      <c r="B4" t="s">
        <v>584</v>
      </c>
    </row>
    <row r="5" spans="1:13" ht="15" x14ac:dyDescent="0.25">
      <c r="A5" s="132">
        <v>1</v>
      </c>
      <c r="B5" s="1"/>
      <c r="M5" t="s">
        <v>595</v>
      </c>
    </row>
    <row r="6" spans="1:13" x14ac:dyDescent="0.2">
      <c r="A6" t="s">
        <v>587</v>
      </c>
      <c r="M6" t="s">
        <v>596</v>
      </c>
    </row>
    <row r="7" spans="1:13" x14ac:dyDescent="0.2">
      <c r="A7" t="s">
        <v>583</v>
      </c>
      <c r="B7" t="s">
        <v>584</v>
      </c>
    </row>
    <row r="8" spans="1:13" ht="15" x14ac:dyDescent="0.25">
      <c r="A8" s="143">
        <v>0</v>
      </c>
      <c r="B8" s="143">
        <v>1</v>
      </c>
    </row>
    <row r="9" spans="1:13" ht="15" x14ac:dyDescent="0.25">
      <c r="A9" s="144">
        <v>1</v>
      </c>
      <c r="B9" s="145"/>
    </row>
    <row r="11" spans="1:13" x14ac:dyDescent="0.2">
      <c r="A11" t="s">
        <v>585</v>
      </c>
    </row>
    <row r="12" spans="1:13" x14ac:dyDescent="0.2">
      <c r="A12" t="s">
        <v>586</v>
      </c>
    </row>
    <row r="13" spans="1:13" x14ac:dyDescent="0.2">
      <c r="A13" t="s">
        <v>583</v>
      </c>
      <c r="C13" t="s">
        <v>584</v>
      </c>
    </row>
    <row r="14" spans="1:13" ht="15" x14ac:dyDescent="0.25">
      <c r="A14" s="146">
        <v>1</v>
      </c>
      <c r="B14" s="147">
        <v>0</v>
      </c>
      <c r="C14" s="146">
        <v>1</v>
      </c>
      <c r="D14" s="150"/>
    </row>
    <row r="15" spans="1:13" ht="15" x14ac:dyDescent="0.25">
      <c r="A15" s="148">
        <v>1</v>
      </c>
      <c r="B15" s="149">
        <v>1</v>
      </c>
      <c r="C15" s="151"/>
      <c r="D15" s="152"/>
    </row>
    <row r="16" spans="1:13" x14ac:dyDescent="0.2">
      <c r="A16" t="s">
        <v>587</v>
      </c>
    </row>
    <row r="17" spans="1:16" x14ac:dyDescent="0.2">
      <c r="A17" t="s">
        <v>583</v>
      </c>
      <c r="C17" t="s">
        <v>584</v>
      </c>
      <c r="E17" t="s">
        <v>588</v>
      </c>
    </row>
    <row r="18" spans="1:16" ht="15" x14ac:dyDescent="0.25">
      <c r="A18" s="146">
        <v>0</v>
      </c>
      <c r="B18" s="147">
        <v>0</v>
      </c>
      <c r="C18" s="146">
        <v>1</v>
      </c>
      <c r="D18" s="147">
        <v>0</v>
      </c>
      <c r="E18" s="146">
        <v>1</v>
      </c>
      <c r="F18" s="150"/>
    </row>
    <row r="19" spans="1:16" ht="15" x14ac:dyDescent="0.25">
      <c r="A19" s="155">
        <v>0</v>
      </c>
      <c r="B19" s="156">
        <v>0</v>
      </c>
      <c r="C19" s="155">
        <v>1</v>
      </c>
      <c r="D19" s="156">
        <v>1</v>
      </c>
      <c r="E19" s="153"/>
      <c r="F19" s="154"/>
    </row>
    <row r="20" spans="1:16" ht="15" x14ac:dyDescent="0.25">
      <c r="A20" s="155">
        <v>1</v>
      </c>
      <c r="B20" s="156">
        <v>0</v>
      </c>
      <c r="C20" s="155">
        <v>1</v>
      </c>
      <c r="D20" s="154"/>
      <c r="E20" s="153"/>
      <c r="F20" s="154"/>
    </row>
    <row r="21" spans="1:16" ht="15" x14ac:dyDescent="0.25">
      <c r="A21" s="148">
        <v>1</v>
      </c>
      <c r="B21" s="149">
        <v>1</v>
      </c>
      <c r="C21" s="151"/>
      <c r="D21" s="152"/>
      <c r="E21" s="151"/>
      <c r="F21" s="152"/>
    </row>
    <row r="23" spans="1:16" x14ac:dyDescent="0.2">
      <c r="A23" t="s">
        <v>589</v>
      </c>
    </row>
    <row r="24" spans="1:16" x14ac:dyDescent="0.2">
      <c r="A24" t="s">
        <v>586</v>
      </c>
    </row>
    <row r="25" spans="1:16" x14ac:dyDescent="0.2">
      <c r="A25" t="s">
        <v>583</v>
      </c>
      <c r="D25" t="s">
        <v>584</v>
      </c>
      <c r="G25" t="s">
        <v>588</v>
      </c>
    </row>
    <row r="26" spans="1:16" ht="15" x14ac:dyDescent="0.25">
      <c r="A26" s="146">
        <v>1</v>
      </c>
      <c r="B26" s="113">
        <v>0</v>
      </c>
      <c r="C26" s="147">
        <v>0</v>
      </c>
      <c r="D26" s="146">
        <v>1</v>
      </c>
      <c r="E26" s="113">
        <v>0</v>
      </c>
      <c r="F26" s="147">
        <v>0</v>
      </c>
      <c r="G26" s="146">
        <v>1</v>
      </c>
      <c r="H26" s="19"/>
      <c r="I26" s="150"/>
      <c r="O26">
        <f>SUM(A26:N26)</f>
        <v>3</v>
      </c>
      <c r="P26" t="s">
        <v>425</v>
      </c>
    </row>
    <row r="27" spans="1:16" ht="15" x14ac:dyDescent="0.25">
      <c r="A27" s="155">
        <v>1</v>
      </c>
      <c r="B27" s="114">
        <v>0</v>
      </c>
      <c r="C27" s="156">
        <v>0</v>
      </c>
      <c r="D27" s="155">
        <v>1</v>
      </c>
      <c r="E27" s="114">
        <v>1</v>
      </c>
      <c r="F27" s="154"/>
      <c r="G27" s="153"/>
      <c r="I27" s="154"/>
      <c r="O27">
        <f>SUM(A27:N27)</f>
        <v>3</v>
      </c>
      <c r="P27" t="s">
        <v>424</v>
      </c>
    </row>
    <row r="28" spans="1:16" ht="15" x14ac:dyDescent="0.25">
      <c r="A28" s="155">
        <v>1</v>
      </c>
      <c r="B28" s="114">
        <v>1</v>
      </c>
      <c r="C28" s="156">
        <v>0</v>
      </c>
      <c r="D28" s="155">
        <v>1</v>
      </c>
      <c r="F28" s="154"/>
      <c r="G28" s="153"/>
      <c r="I28" s="154"/>
      <c r="O28">
        <f>SUM(A28:N28)</f>
        <v>3</v>
      </c>
      <c r="P28" t="s">
        <v>422</v>
      </c>
    </row>
    <row r="29" spans="1:16" ht="15" x14ac:dyDescent="0.25">
      <c r="A29" s="148">
        <v>1</v>
      </c>
      <c r="B29" s="115">
        <v>1</v>
      </c>
      <c r="C29" s="149">
        <v>1</v>
      </c>
      <c r="D29" s="151"/>
      <c r="E29" s="21"/>
      <c r="F29" s="152"/>
      <c r="G29" s="151"/>
      <c r="H29" s="21"/>
      <c r="I29" s="152"/>
      <c r="P29" t="s">
        <v>421</v>
      </c>
    </row>
    <row r="30" spans="1:16" x14ac:dyDescent="0.2">
      <c r="A30" t="s">
        <v>587</v>
      </c>
    </row>
    <row r="31" spans="1:16" x14ac:dyDescent="0.2">
      <c r="A31" t="s">
        <v>583</v>
      </c>
      <c r="D31" t="s">
        <v>584</v>
      </c>
      <c r="G31" t="s">
        <v>588</v>
      </c>
      <c r="J31" t="s">
        <v>590</v>
      </c>
    </row>
    <row r="32" spans="1:16" ht="15" x14ac:dyDescent="0.25">
      <c r="A32" s="146">
        <v>0</v>
      </c>
      <c r="B32" s="113">
        <v>0</v>
      </c>
      <c r="C32" s="147">
        <v>0</v>
      </c>
      <c r="D32" s="146">
        <v>1</v>
      </c>
      <c r="E32" s="113">
        <v>0</v>
      </c>
      <c r="F32" s="147">
        <v>0</v>
      </c>
      <c r="G32" s="146">
        <v>1</v>
      </c>
      <c r="H32" s="113">
        <v>0</v>
      </c>
      <c r="I32" s="147">
        <v>0</v>
      </c>
      <c r="J32" s="146">
        <v>1</v>
      </c>
      <c r="K32" s="19"/>
      <c r="L32" s="150"/>
      <c r="O32">
        <f t="shared" ref="O32:O39" si="0">SUM(A32:N32)</f>
        <v>3</v>
      </c>
      <c r="P32" t="s">
        <v>430</v>
      </c>
    </row>
    <row r="33" spans="1:18" ht="15" x14ac:dyDescent="0.25">
      <c r="A33" s="155">
        <v>0</v>
      </c>
      <c r="B33" s="114">
        <v>0</v>
      </c>
      <c r="C33" s="156">
        <v>0</v>
      </c>
      <c r="D33" s="155">
        <v>1</v>
      </c>
      <c r="E33" s="114">
        <v>0</v>
      </c>
      <c r="F33" s="156">
        <v>0</v>
      </c>
      <c r="G33" s="155">
        <v>1</v>
      </c>
      <c r="H33" s="114">
        <v>1</v>
      </c>
      <c r="I33" s="154"/>
      <c r="J33" s="153"/>
      <c r="L33" s="154"/>
      <c r="O33">
        <f>SUM(A33:N33)</f>
        <v>3</v>
      </c>
      <c r="P33" t="s">
        <v>74</v>
      </c>
    </row>
    <row r="34" spans="1:18" ht="15" x14ac:dyDescent="0.25">
      <c r="A34" s="155">
        <v>0</v>
      </c>
      <c r="B34" s="114">
        <v>0</v>
      </c>
      <c r="C34" s="156">
        <v>0</v>
      </c>
      <c r="D34" s="155">
        <v>1</v>
      </c>
      <c r="E34" s="114">
        <v>1</v>
      </c>
      <c r="F34" s="156">
        <v>0</v>
      </c>
      <c r="G34" s="155">
        <v>1</v>
      </c>
      <c r="I34" s="154"/>
      <c r="J34" s="153"/>
      <c r="L34" s="154"/>
      <c r="O34">
        <f t="shared" si="0"/>
        <v>3</v>
      </c>
      <c r="P34" t="s">
        <v>428</v>
      </c>
    </row>
    <row r="35" spans="1:18" ht="15" x14ac:dyDescent="0.25">
      <c r="A35" s="155">
        <v>0</v>
      </c>
      <c r="B35" s="114">
        <v>0</v>
      </c>
      <c r="C35" s="156">
        <v>0</v>
      </c>
      <c r="D35" s="155">
        <v>1</v>
      </c>
      <c r="E35" s="114">
        <v>1</v>
      </c>
      <c r="F35" s="156">
        <v>1</v>
      </c>
      <c r="G35" s="153"/>
      <c r="I35" s="154"/>
      <c r="J35" s="153"/>
      <c r="L35" s="154"/>
      <c r="O35">
        <f t="shared" si="0"/>
        <v>3</v>
      </c>
      <c r="P35" t="s">
        <v>427</v>
      </c>
    </row>
    <row r="36" spans="1:18" ht="15" x14ac:dyDescent="0.25">
      <c r="A36" s="155">
        <v>1</v>
      </c>
      <c r="B36" s="114">
        <v>0</v>
      </c>
      <c r="C36" s="156">
        <v>0</v>
      </c>
      <c r="D36" s="155">
        <v>1</v>
      </c>
      <c r="E36" s="114">
        <v>0</v>
      </c>
      <c r="F36" s="156">
        <v>0</v>
      </c>
      <c r="G36" s="155">
        <v>1</v>
      </c>
      <c r="I36" s="154"/>
      <c r="J36" s="153"/>
      <c r="L36" s="154"/>
      <c r="O36">
        <f t="shared" si="0"/>
        <v>3</v>
      </c>
      <c r="P36" t="s">
        <v>425</v>
      </c>
    </row>
    <row r="37" spans="1:18" ht="15" x14ac:dyDescent="0.25">
      <c r="A37" s="155">
        <v>1</v>
      </c>
      <c r="B37" s="114">
        <v>0</v>
      </c>
      <c r="C37" s="156">
        <v>0</v>
      </c>
      <c r="D37" s="155">
        <v>1</v>
      </c>
      <c r="E37" s="114">
        <v>1</v>
      </c>
      <c r="F37" s="154"/>
      <c r="G37" s="153"/>
      <c r="I37" s="154"/>
      <c r="J37" s="153"/>
      <c r="L37" s="154"/>
      <c r="O37">
        <f t="shared" si="0"/>
        <v>3</v>
      </c>
      <c r="P37" t="s">
        <v>424</v>
      </c>
    </row>
    <row r="38" spans="1:18" ht="15" x14ac:dyDescent="0.25">
      <c r="A38" s="155">
        <v>1</v>
      </c>
      <c r="B38" s="114">
        <v>1</v>
      </c>
      <c r="C38" s="156">
        <v>0</v>
      </c>
      <c r="D38" s="155">
        <v>1</v>
      </c>
      <c r="F38" s="154"/>
      <c r="G38" s="153"/>
      <c r="I38" s="154"/>
      <c r="J38" s="153"/>
      <c r="L38" s="154"/>
      <c r="O38">
        <f t="shared" si="0"/>
        <v>3</v>
      </c>
      <c r="P38" t="s">
        <v>422</v>
      </c>
    </row>
    <row r="39" spans="1:18" ht="15" x14ac:dyDescent="0.25">
      <c r="A39" s="148">
        <v>1</v>
      </c>
      <c r="B39" s="115">
        <v>1</v>
      </c>
      <c r="C39" s="149">
        <v>1</v>
      </c>
      <c r="D39" s="151"/>
      <c r="E39" s="21"/>
      <c r="F39" s="152"/>
      <c r="G39" s="151"/>
      <c r="H39" s="21"/>
      <c r="I39" s="152"/>
      <c r="J39" s="151"/>
      <c r="K39" s="21"/>
      <c r="L39" s="152"/>
      <c r="O39">
        <f t="shared" si="0"/>
        <v>3</v>
      </c>
      <c r="P39" t="s">
        <v>421</v>
      </c>
    </row>
    <row r="41" spans="1:18" x14ac:dyDescent="0.2">
      <c r="A41" t="s">
        <v>591</v>
      </c>
    </row>
    <row r="42" spans="1:18" x14ac:dyDescent="0.2">
      <c r="A42" t="s">
        <v>586</v>
      </c>
    </row>
    <row r="43" spans="1:18" x14ac:dyDescent="0.2">
      <c r="A43" t="s">
        <v>583</v>
      </c>
      <c r="E43" t="s">
        <v>584</v>
      </c>
      <c r="I43" t="s">
        <v>588</v>
      </c>
      <c r="M43" t="s">
        <v>590</v>
      </c>
    </row>
    <row r="44" spans="1:18" ht="15" x14ac:dyDescent="0.25">
      <c r="A44" s="146">
        <v>1</v>
      </c>
      <c r="B44" s="113">
        <v>0</v>
      </c>
      <c r="C44" s="113">
        <v>0</v>
      </c>
      <c r="D44" s="147">
        <v>0</v>
      </c>
      <c r="E44" s="146">
        <v>1</v>
      </c>
      <c r="F44" s="113">
        <v>0</v>
      </c>
      <c r="G44" s="113">
        <v>0</v>
      </c>
      <c r="H44" s="147">
        <v>0</v>
      </c>
      <c r="I44" s="146">
        <v>1</v>
      </c>
      <c r="J44" s="113">
        <v>0</v>
      </c>
      <c r="K44" s="113">
        <v>0</v>
      </c>
      <c r="L44" s="147">
        <v>0</v>
      </c>
      <c r="M44" s="146">
        <v>1</v>
      </c>
      <c r="N44" s="19"/>
      <c r="O44" s="19"/>
      <c r="P44" s="150"/>
      <c r="R44" t="s">
        <v>430</v>
      </c>
    </row>
    <row r="45" spans="1:18" ht="15" x14ac:dyDescent="0.25">
      <c r="A45" s="155">
        <v>1</v>
      </c>
      <c r="B45" s="114">
        <v>0</v>
      </c>
      <c r="C45" s="114">
        <v>0</v>
      </c>
      <c r="D45" s="156">
        <v>0</v>
      </c>
      <c r="E45" s="155">
        <v>1</v>
      </c>
      <c r="F45" s="114">
        <v>0</v>
      </c>
      <c r="G45" s="114">
        <v>0</v>
      </c>
      <c r="H45" s="156">
        <v>0</v>
      </c>
      <c r="I45" s="155">
        <v>1</v>
      </c>
      <c r="J45" s="114">
        <v>1</v>
      </c>
      <c r="L45" s="154"/>
      <c r="M45" s="153"/>
      <c r="P45" s="154"/>
      <c r="R45" t="s">
        <v>74</v>
      </c>
    </row>
    <row r="46" spans="1:18" ht="15" x14ac:dyDescent="0.25">
      <c r="A46" s="155">
        <v>1</v>
      </c>
      <c r="B46" s="114">
        <v>0</v>
      </c>
      <c r="C46" s="114">
        <v>0</v>
      </c>
      <c r="D46" s="156">
        <v>0</v>
      </c>
      <c r="E46" s="155">
        <v>1</v>
      </c>
      <c r="F46" s="114">
        <v>1</v>
      </c>
      <c r="G46" s="114">
        <v>0</v>
      </c>
      <c r="H46" s="156">
        <v>0</v>
      </c>
      <c r="I46" s="155">
        <v>1</v>
      </c>
      <c r="L46" s="154"/>
      <c r="M46" s="153"/>
      <c r="P46" s="154"/>
      <c r="R46" t="s">
        <v>428</v>
      </c>
    </row>
    <row r="47" spans="1:18" ht="15" x14ac:dyDescent="0.25">
      <c r="A47" s="155">
        <v>1</v>
      </c>
      <c r="B47" s="114">
        <v>0</v>
      </c>
      <c r="C47" s="114">
        <v>0</v>
      </c>
      <c r="D47" s="156">
        <v>0</v>
      </c>
      <c r="E47" s="155">
        <v>1</v>
      </c>
      <c r="F47" s="114">
        <v>1</v>
      </c>
      <c r="G47" s="114">
        <v>1</v>
      </c>
      <c r="H47" s="154"/>
      <c r="I47" s="153"/>
      <c r="L47" s="154"/>
      <c r="M47" s="153"/>
      <c r="P47" s="154"/>
      <c r="R47" t="s">
        <v>427</v>
      </c>
    </row>
    <row r="48" spans="1:18" ht="15" x14ac:dyDescent="0.25">
      <c r="A48" s="155">
        <v>1</v>
      </c>
      <c r="B48" s="114">
        <v>1</v>
      </c>
      <c r="C48" s="114">
        <v>0</v>
      </c>
      <c r="D48" s="156">
        <v>0</v>
      </c>
      <c r="E48" s="155">
        <v>1</v>
      </c>
      <c r="F48" s="114">
        <v>0</v>
      </c>
      <c r="G48" s="114">
        <v>0</v>
      </c>
      <c r="H48" s="156">
        <v>0</v>
      </c>
      <c r="I48" s="155">
        <v>1</v>
      </c>
      <c r="L48" s="154"/>
      <c r="M48" s="153"/>
      <c r="P48" s="154"/>
      <c r="R48" t="s">
        <v>425</v>
      </c>
    </row>
    <row r="49" spans="1:23" ht="15" x14ac:dyDescent="0.25">
      <c r="A49" s="155">
        <v>1</v>
      </c>
      <c r="B49" s="114">
        <v>1</v>
      </c>
      <c r="C49" s="114">
        <v>0</v>
      </c>
      <c r="D49" s="156">
        <v>0</v>
      </c>
      <c r="E49" s="155">
        <v>1</v>
      </c>
      <c r="F49" s="114">
        <v>1</v>
      </c>
      <c r="H49" s="154"/>
      <c r="I49" s="153"/>
      <c r="L49" s="154"/>
      <c r="M49" s="153"/>
      <c r="P49" s="154"/>
      <c r="R49" t="s">
        <v>424</v>
      </c>
    </row>
    <row r="50" spans="1:23" ht="15" x14ac:dyDescent="0.25">
      <c r="A50" s="155">
        <v>1</v>
      </c>
      <c r="B50" s="114">
        <v>1</v>
      </c>
      <c r="C50" s="114">
        <v>1</v>
      </c>
      <c r="D50" s="156">
        <v>0</v>
      </c>
      <c r="E50" s="155">
        <v>1</v>
      </c>
      <c r="H50" s="154"/>
      <c r="I50" s="153"/>
      <c r="L50" s="154"/>
      <c r="M50" s="153"/>
      <c r="P50" s="154"/>
      <c r="R50" t="s">
        <v>422</v>
      </c>
    </row>
    <row r="51" spans="1:23" ht="15" x14ac:dyDescent="0.25">
      <c r="A51" s="148">
        <v>1</v>
      </c>
      <c r="B51" s="115">
        <v>1</v>
      </c>
      <c r="C51" s="115">
        <v>1</v>
      </c>
      <c r="D51" s="149">
        <v>1</v>
      </c>
      <c r="E51" s="151"/>
      <c r="F51" s="21"/>
      <c r="G51" s="21"/>
      <c r="H51" s="152"/>
      <c r="I51" s="151"/>
      <c r="J51" s="21"/>
      <c r="K51" s="21"/>
      <c r="L51" s="152"/>
      <c r="M51" s="151"/>
      <c r="N51" s="21"/>
      <c r="O51" s="21"/>
      <c r="P51" s="152"/>
      <c r="R51" t="s">
        <v>421</v>
      </c>
    </row>
    <row r="52" spans="1:23" x14ac:dyDescent="0.2">
      <c r="A52" t="s">
        <v>587</v>
      </c>
    </row>
    <row r="53" spans="1:23" x14ac:dyDescent="0.2">
      <c r="A53" t="s">
        <v>583</v>
      </c>
      <c r="E53" t="s">
        <v>584</v>
      </c>
      <c r="I53" t="s">
        <v>588</v>
      </c>
      <c r="M53" t="s">
        <v>590</v>
      </c>
      <c r="Q53" t="s">
        <v>592</v>
      </c>
    </row>
    <row r="54" spans="1:23" ht="15" x14ac:dyDescent="0.25">
      <c r="A54" s="146">
        <v>0</v>
      </c>
      <c r="B54" s="113">
        <v>0</v>
      </c>
      <c r="C54" s="113">
        <v>0</v>
      </c>
      <c r="D54" s="147">
        <v>0</v>
      </c>
      <c r="E54" s="146">
        <v>1</v>
      </c>
      <c r="F54" s="113">
        <v>0</v>
      </c>
      <c r="G54" s="113">
        <v>0</v>
      </c>
      <c r="H54" s="147">
        <v>0</v>
      </c>
      <c r="I54" s="146">
        <v>1</v>
      </c>
      <c r="J54" s="113">
        <v>0</v>
      </c>
      <c r="K54" s="113">
        <v>0</v>
      </c>
      <c r="L54" s="147">
        <v>0</v>
      </c>
      <c r="M54" s="146">
        <v>1</v>
      </c>
      <c r="N54" s="113">
        <v>0</v>
      </c>
      <c r="O54" s="113">
        <v>0</v>
      </c>
      <c r="P54" s="147">
        <v>0</v>
      </c>
      <c r="Q54" s="146">
        <v>1</v>
      </c>
      <c r="R54" s="19"/>
      <c r="S54" s="19"/>
      <c r="T54" s="150"/>
      <c r="V54">
        <f>SUM(A54:U54)</f>
        <v>4</v>
      </c>
      <c r="W54" t="s">
        <v>290</v>
      </c>
    </row>
    <row r="55" spans="1:23" ht="15" x14ac:dyDescent="0.25">
      <c r="A55" s="155">
        <v>0</v>
      </c>
      <c r="B55" s="114">
        <v>0</v>
      </c>
      <c r="C55" s="114">
        <v>0</v>
      </c>
      <c r="D55" s="156">
        <v>0</v>
      </c>
      <c r="E55" s="155">
        <v>1</v>
      </c>
      <c r="F55" s="114">
        <v>0</v>
      </c>
      <c r="G55" s="114">
        <v>0</v>
      </c>
      <c r="H55" s="156">
        <v>0</v>
      </c>
      <c r="I55" s="155">
        <v>1</v>
      </c>
      <c r="J55" s="114">
        <v>0</v>
      </c>
      <c r="K55" s="114">
        <v>0</v>
      </c>
      <c r="L55" s="156">
        <v>0</v>
      </c>
      <c r="M55" s="155">
        <v>1</v>
      </c>
      <c r="N55" s="114">
        <v>1</v>
      </c>
      <c r="P55" s="154"/>
      <c r="Q55" s="153"/>
      <c r="T55" s="154"/>
      <c r="V55">
        <f>SUM(A55:U55)</f>
        <v>4</v>
      </c>
      <c r="W55" t="s">
        <v>594</v>
      </c>
    </row>
    <row r="56" spans="1:23" ht="15" x14ac:dyDescent="0.25">
      <c r="A56" s="155">
        <v>0</v>
      </c>
      <c r="B56" s="114">
        <v>0</v>
      </c>
      <c r="C56" s="114">
        <v>0</v>
      </c>
      <c r="D56" s="156">
        <v>0</v>
      </c>
      <c r="E56" s="155">
        <v>1</v>
      </c>
      <c r="F56" s="114">
        <v>0</v>
      </c>
      <c r="G56" s="114">
        <v>0</v>
      </c>
      <c r="H56" s="156">
        <v>0</v>
      </c>
      <c r="I56" s="155">
        <v>1</v>
      </c>
      <c r="J56" s="114">
        <v>1</v>
      </c>
      <c r="K56" s="114">
        <v>0</v>
      </c>
      <c r="L56" s="156">
        <v>0</v>
      </c>
      <c r="M56" s="155">
        <v>1</v>
      </c>
      <c r="P56" s="154"/>
      <c r="Q56" s="153"/>
      <c r="T56" s="154"/>
      <c r="V56">
        <f>SUM(A56:U56)</f>
        <v>4</v>
      </c>
      <c r="W56" t="s">
        <v>22</v>
      </c>
    </row>
    <row r="57" spans="1:23" ht="15" x14ac:dyDescent="0.25">
      <c r="A57" s="155">
        <v>0</v>
      </c>
      <c r="B57" s="114">
        <v>0</v>
      </c>
      <c r="C57" s="114">
        <v>0</v>
      </c>
      <c r="D57" s="156">
        <v>0</v>
      </c>
      <c r="E57" s="155">
        <v>1</v>
      </c>
      <c r="F57" s="114">
        <v>0</v>
      </c>
      <c r="G57" s="114">
        <v>0</v>
      </c>
      <c r="H57" s="156">
        <v>0</v>
      </c>
      <c r="I57" s="155">
        <v>1</v>
      </c>
      <c r="J57" s="114">
        <v>1</v>
      </c>
      <c r="K57" s="114">
        <v>1</v>
      </c>
      <c r="L57" s="154"/>
      <c r="M57" s="153"/>
      <c r="P57" s="154"/>
      <c r="Q57" s="153"/>
      <c r="T57" s="154"/>
      <c r="V57">
        <f>SUM(A57:U57)</f>
        <v>4</v>
      </c>
      <c r="W57" t="s">
        <v>437</v>
      </c>
    </row>
    <row r="58" spans="1:23" ht="15" x14ac:dyDescent="0.25">
      <c r="A58" s="155">
        <v>0</v>
      </c>
      <c r="B58" s="114">
        <v>0</v>
      </c>
      <c r="C58" s="114">
        <v>0</v>
      </c>
      <c r="D58" s="156">
        <v>0</v>
      </c>
      <c r="E58" s="155">
        <v>1</v>
      </c>
      <c r="F58" s="114">
        <v>1</v>
      </c>
      <c r="G58" s="114">
        <v>0</v>
      </c>
      <c r="H58" s="156">
        <v>0</v>
      </c>
      <c r="I58" s="155">
        <v>1</v>
      </c>
      <c r="J58" s="114">
        <v>0</v>
      </c>
      <c r="K58" s="114">
        <v>0</v>
      </c>
      <c r="L58" s="156">
        <v>0</v>
      </c>
      <c r="M58" s="155">
        <v>1</v>
      </c>
      <c r="P58" s="154"/>
      <c r="Q58" s="153"/>
      <c r="T58" s="154"/>
      <c r="V58">
        <f>SUM(A58:U58)</f>
        <v>4</v>
      </c>
      <c r="W58" t="s">
        <v>435</v>
      </c>
    </row>
    <row r="59" spans="1:23" ht="15" x14ac:dyDescent="0.25">
      <c r="A59" s="155">
        <v>0</v>
      </c>
      <c r="B59" s="114">
        <v>0</v>
      </c>
      <c r="C59" s="114">
        <v>0</v>
      </c>
      <c r="D59" s="156">
        <v>0</v>
      </c>
      <c r="E59" s="155">
        <v>1</v>
      </c>
      <c r="F59" s="114">
        <v>1</v>
      </c>
      <c r="G59" s="114">
        <v>0</v>
      </c>
      <c r="H59" s="156">
        <v>0</v>
      </c>
      <c r="I59" s="155">
        <v>1</v>
      </c>
      <c r="J59" s="114">
        <v>1</v>
      </c>
      <c r="L59" s="154"/>
      <c r="M59" s="153"/>
      <c r="P59" s="154"/>
      <c r="Q59" s="153"/>
      <c r="T59" s="154"/>
      <c r="V59">
        <f t="shared" ref="V59:V69" si="1">SUM(A59:U59)</f>
        <v>4</v>
      </c>
      <c r="W59" t="s">
        <v>434</v>
      </c>
    </row>
    <row r="60" spans="1:23" ht="15" x14ac:dyDescent="0.25">
      <c r="A60" s="155">
        <v>0</v>
      </c>
      <c r="B60" s="114">
        <v>0</v>
      </c>
      <c r="C60" s="114">
        <v>0</v>
      </c>
      <c r="D60" s="156">
        <v>0</v>
      </c>
      <c r="E60" s="155">
        <v>1</v>
      </c>
      <c r="F60" s="114">
        <v>1</v>
      </c>
      <c r="G60" s="114">
        <v>1</v>
      </c>
      <c r="H60" s="156">
        <v>0</v>
      </c>
      <c r="I60" s="155">
        <v>1</v>
      </c>
      <c r="L60" s="154"/>
      <c r="M60" s="153"/>
      <c r="P60" s="154"/>
      <c r="Q60" s="153"/>
      <c r="T60" s="154"/>
      <c r="V60">
        <f t="shared" si="1"/>
        <v>4</v>
      </c>
      <c r="W60" t="s">
        <v>432</v>
      </c>
    </row>
    <row r="61" spans="1:23" ht="15" x14ac:dyDescent="0.25">
      <c r="A61" s="155">
        <v>0</v>
      </c>
      <c r="B61" s="114">
        <v>0</v>
      </c>
      <c r="C61" s="114">
        <v>0</v>
      </c>
      <c r="D61" s="156">
        <v>0</v>
      </c>
      <c r="E61" s="155">
        <v>1</v>
      </c>
      <c r="F61" s="114">
        <v>1</v>
      </c>
      <c r="G61" s="114">
        <v>1</v>
      </c>
      <c r="H61" s="156">
        <v>1</v>
      </c>
      <c r="I61" s="153"/>
      <c r="L61" s="154"/>
      <c r="M61" s="153"/>
      <c r="P61" s="154"/>
      <c r="Q61" s="153"/>
      <c r="T61" s="154"/>
      <c r="V61">
        <f>SUM(A61:U61)</f>
        <v>4</v>
      </c>
      <c r="W61" t="s">
        <v>593</v>
      </c>
    </row>
    <row r="62" spans="1:23" ht="15" x14ac:dyDescent="0.25">
      <c r="A62" s="155">
        <v>1</v>
      </c>
      <c r="B62" s="114">
        <v>0</v>
      </c>
      <c r="C62" s="114">
        <v>0</v>
      </c>
      <c r="D62" s="156">
        <v>0</v>
      </c>
      <c r="E62" s="155">
        <v>1</v>
      </c>
      <c r="F62" s="114">
        <v>0</v>
      </c>
      <c r="G62" s="114">
        <v>0</v>
      </c>
      <c r="H62" s="156">
        <v>0</v>
      </c>
      <c r="I62" s="155">
        <v>1</v>
      </c>
      <c r="J62" s="114">
        <v>0</v>
      </c>
      <c r="K62" s="114">
        <v>0</v>
      </c>
      <c r="L62" s="156">
        <v>0</v>
      </c>
      <c r="M62" s="155">
        <v>1</v>
      </c>
      <c r="P62" s="154"/>
      <c r="Q62" s="153"/>
      <c r="T62" s="154"/>
      <c r="V62">
        <f>SUM(A62:U62)</f>
        <v>4</v>
      </c>
      <c r="W62" t="s">
        <v>430</v>
      </c>
    </row>
    <row r="63" spans="1:23" ht="15" x14ac:dyDescent="0.25">
      <c r="A63" s="155">
        <v>1</v>
      </c>
      <c r="B63" s="114">
        <v>0</v>
      </c>
      <c r="C63" s="114">
        <v>0</v>
      </c>
      <c r="D63" s="156">
        <v>0</v>
      </c>
      <c r="E63" s="155">
        <v>1</v>
      </c>
      <c r="F63" s="114">
        <v>0</v>
      </c>
      <c r="G63" s="114">
        <v>0</v>
      </c>
      <c r="H63" s="156">
        <v>0</v>
      </c>
      <c r="I63" s="155">
        <v>1</v>
      </c>
      <c r="J63" s="114">
        <v>1</v>
      </c>
      <c r="L63" s="154"/>
      <c r="M63" s="153"/>
      <c r="P63" s="154"/>
      <c r="Q63" s="153"/>
      <c r="T63" s="154"/>
      <c r="V63">
        <f t="shared" si="1"/>
        <v>4</v>
      </c>
      <c r="W63" t="s">
        <v>74</v>
      </c>
    </row>
    <row r="64" spans="1:23" ht="15" x14ac:dyDescent="0.25">
      <c r="A64" s="155">
        <v>1</v>
      </c>
      <c r="B64" s="114">
        <v>0</v>
      </c>
      <c r="C64" s="114">
        <v>0</v>
      </c>
      <c r="D64" s="156">
        <v>0</v>
      </c>
      <c r="E64" s="155">
        <v>1</v>
      </c>
      <c r="F64" s="114">
        <v>1</v>
      </c>
      <c r="G64" s="114">
        <v>0</v>
      </c>
      <c r="H64" s="156">
        <v>0</v>
      </c>
      <c r="I64" s="155">
        <v>1</v>
      </c>
      <c r="L64" s="154"/>
      <c r="M64" s="153"/>
      <c r="P64" s="154"/>
      <c r="Q64" s="153"/>
      <c r="T64" s="154"/>
      <c r="V64">
        <f t="shared" si="1"/>
        <v>4</v>
      </c>
      <c r="W64" t="s">
        <v>428</v>
      </c>
    </row>
    <row r="65" spans="1:23" ht="15" x14ac:dyDescent="0.25">
      <c r="A65" s="155">
        <v>1</v>
      </c>
      <c r="B65" s="114">
        <v>0</v>
      </c>
      <c r="C65" s="114">
        <v>0</v>
      </c>
      <c r="D65" s="156">
        <v>0</v>
      </c>
      <c r="E65" s="155">
        <v>1</v>
      </c>
      <c r="F65" s="114">
        <v>1</v>
      </c>
      <c r="G65" s="114">
        <v>1</v>
      </c>
      <c r="H65" s="154"/>
      <c r="I65" s="153"/>
      <c r="L65" s="154"/>
      <c r="M65" s="153"/>
      <c r="P65" s="154"/>
      <c r="Q65" s="153"/>
      <c r="T65" s="154"/>
      <c r="V65">
        <f t="shared" si="1"/>
        <v>4</v>
      </c>
      <c r="W65" t="s">
        <v>427</v>
      </c>
    </row>
    <row r="66" spans="1:23" ht="15" x14ac:dyDescent="0.25">
      <c r="A66" s="155">
        <v>1</v>
      </c>
      <c r="B66" s="114">
        <v>1</v>
      </c>
      <c r="C66" s="114">
        <v>0</v>
      </c>
      <c r="D66" s="156">
        <v>0</v>
      </c>
      <c r="E66" s="155">
        <v>1</v>
      </c>
      <c r="F66" s="114">
        <v>0</v>
      </c>
      <c r="G66" s="114">
        <v>0</v>
      </c>
      <c r="H66" s="156">
        <v>0</v>
      </c>
      <c r="I66" s="155">
        <v>1</v>
      </c>
      <c r="L66" s="154"/>
      <c r="M66" s="153"/>
      <c r="P66" s="154"/>
      <c r="Q66" s="153"/>
      <c r="T66" s="154"/>
      <c r="V66">
        <f t="shared" si="1"/>
        <v>4</v>
      </c>
      <c r="W66" t="s">
        <v>425</v>
      </c>
    </row>
    <row r="67" spans="1:23" ht="15" x14ac:dyDescent="0.25">
      <c r="A67" s="155">
        <v>1</v>
      </c>
      <c r="B67" s="114">
        <v>1</v>
      </c>
      <c r="C67" s="114">
        <v>0</v>
      </c>
      <c r="D67" s="156">
        <v>0</v>
      </c>
      <c r="E67" s="155">
        <v>1</v>
      </c>
      <c r="F67" s="114">
        <v>1</v>
      </c>
      <c r="H67" s="154"/>
      <c r="I67" s="153"/>
      <c r="L67" s="154"/>
      <c r="M67" s="153"/>
      <c r="P67" s="154"/>
      <c r="Q67" s="153"/>
      <c r="T67" s="154"/>
      <c r="V67">
        <f t="shared" si="1"/>
        <v>4</v>
      </c>
      <c r="W67" t="s">
        <v>424</v>
      </c>
    </row>
    <row r="68" spans="1:23" ht="15" x14ac:dyDescent="0.25">
      <c r="A68" s="155">
        <v>1</v>
      </c>
      <c r="B68" s="114">
        <v>1</v>
      </c>
      <c r="C68" s="114">
        <v>1</v>
      </c>
      <c r="D68" s="156">
        <v>0</v>
      </c>
      <c r="E68" s="155">
        <v>1</v>
      </c>
      <c r="H68" s="154"/>
      <c r="I68" s="153"/>
      <c r="L68" s="154"/>
      <c r="M68" s="153"/>
      <c r="P68" s="154"/>
      <c r="Q68" s="153"/>
      <c r="T68" s="154"/>
      <c r="V68">
        <f t="shared" si="1"/>
        <v>4</v>
      </c>
      <c r="W68" t="s">
        <v>422</v>
      </c>
    </row>
    <row r="69" spans="1:23" ht="15" x14ac:dyDescent="0.25">
      <c r="A69" s="148">
        <v>1</v>
      </c>
      <c r="B69" s="115">
        <v>1</v>
      </c>
      <c r="C69" s="115">
        <v>1</v>
      </c>
      <c r="D69" s="149">
        <v>1</v>
      </c>
      <c r="E69" s="151"/>
      <c r="F69" s="21"/>
      <c r="G69" s="21"/>
      <c r="H69" s="152"/>
      <c r="I69" s="151"/>
      <c r="J69" s="21"/>
      <c r="K69" s="21"/>
      <c r="L69" s="152"/>
      <c r="M69" s="151"/>
      <c r="N69" s="21"/>
      <c r="O69" s="21"/>
      <c r="P69" s="152"/>
      <c r="Q69" s="151"/>
      <c r="R69" s="21"/>
      <c r="S69" s="21"/>
      <c r="T69" s="152"/>
      <c r="V69">
        <f t="shared" si="1"/>
        <v>4</v>
      </c>
      <c r="W69" t="s">
        <v>421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3:V149"/>
  <sheetViews>
    <sheetView topLeftCell="A94" workbookViewId="0">
      <selection activeCell="L98" sqref="L98:L112"/>
    </sheetView>
  </sheetViews>
  <sheetFormatPr defaultColWidth="8.85546875" defaultRowHeight="15" x14ac:dyDescent="0.25"/>
  <cols>
    <col min="1" max="16384" width="8.85546875" style="159"/>
  </cols>
  <sheetData>
    <row r="3" spans="1:21" x14ac:dyDescent="0.25">
      <c r="B3" s="221" t="s">
        <v>1522</v>
      </c>
      <c r="D3" s="221" t="s">
        <v>1523</v>
      </c>
      <c r="I3" s="221" t="s">
        <v>988</v>
      </c>
    </row>
    <row r="4" spans="1:21" x14ac:dyDescent="0.25">
      <c r="D4" s="159">
        <f>98*25.4</f>
        <v>2489.1999999999998</v>
      </c>
      <c r="E4" s="159">
        <f>197*25.4</f>
        <v>5003.7999999999993</v>
      </c>
      <c r="I4" s="159">
        <f>(D4-100)/3</f>
        <v>796.4</v>
      </c>
      <c r="K4" s="159">
        <f>(E4-360)/5</f>
        <v>928.75999999999988</v>
      </c>
      <c r="P4" s="159">
        <v>796.4</v>
      </c>
      <c r="R4" s="159">
        <f>(P4*P6)+(P5*(P6-1))</f>
        <v>2489.1999999999998</v>
      </c>
    </row>
    <row r="5" spans="1:21" x14ac:dyDescent="0.25">
      <c r="P5" s="159">
        <v>50</v>
      </c>
    </row>
    <row r="6" spans="1:21" x14ac:dyDescent="0.25">
      <c r="D6" s="159">
        <v>1024</v>
      </c>
      <c r="E6" s="159">
        <v>1752</v>
      </c>
      <c r="I6" s="159">
        <v>796.4</v>
      </c>
      <c r="J6" s="221" t="s">
        <v>1068</v>
      </c>
      <c r="K6" s="159">
        <v>928.7</v>
      </c>
      <c r="P6" s="159">
        <v>3</v>
      </c>
    </row>
    <row r="7" spans="1:21" x14ac:dyDescent="0.25">
      <c r="D7" s="159">
        <f>D4/D6</f>
        <v>2.4308593749999998</v>
      </c>
      <c r="E7" s="159">
        <f>E4/E6</f>
        <v>2.8560502283105018</v>
      </c>
      <c r="I7" s="159">
        <f>I6/25.4</f>
        <v>31.354330708661418</v>
      </c>
      <c r="K7" s="159">
        <f>K6/25.4</f>
        <v>36.562992125984259</v>
      </c>
      <c r="N7" s="221">
        <f>25.4/16</f>
        <v>1.5874999999999999</v>
      </c>
    </row>
    <row r="8" spans="1:21" x14ac:dyDescent="0.25">
      <c r="C8" s="159">
        <v>345</v>
      </c>
      <c r="D8" s="159">
        <f>D4*(C8/1000)</f>
        <v>858.77399999999989</v>
      </c>
      <c r="E8" s="159">
        <f>E4*(C8/1000)</f>
        <v>1726.3109999999997</v>
      </c>
      <c r="S8" s="159">
        <v>796.4</v>
      </c>
      <c r="T8" s="159">
        <f>S8/25.4</f>
        <v>31.354330708661418</v>
      </c>
    </row>
    <row r="9" spans="1:21" x14ac:dyDescent="0.25">
      <c r="D9" s="159">
        <f>((FLOOR(D8/8,1))+1)*8</f>
        <v>864</v>
      </c>
      <c r="E9" s="159">
        <f>((FLOOR(E8/8,1))+1)*8</f>
        <v>1728</v>
      </c>
      <c r="G9" s="221">
        <f>1920-E9</f>
        <v>192</v>
      </c>
      <c r="I9" s="159">
        <f>(I6*3)+100</f>
        <v>2489.1999999999998</v>
      </c>
      <c r="J9" s="159">
        <f>I9*0.35</f>
        <v>871.21999999999991</v>
      </c>
      <c r="T9" s="159">
        <f>FLOOR(T8,1)</f>
        <v>31</v>
      </c>
    </row>
    <row r="10" spans="1:21" x14ac:dyDescent="0.25">
      <c r="D10" s="159">
        <f>((1080-D9)/2)</f>
        <v>108</v>
      </c>
      <c r="T10" s="159">
        <f>T9*25.4</f>
        <v>787.4</v>
      </c>
    </row>
    <row r="11" spans="1:21" x14ac:dyDescent="0.25">
      <c r="T11" s="159">
        <f>S8-T10</f>
        <v>9</v>
      </c>
      <c r="U11" s="159">
        <f>T11/S13</f>
        <v>5.6692913385826778</v>
      </c>
    </row>
    <row r="12" spans="1:21" x14ac:dyDescent="0.25">
      <c r="A12" s="159">
        <v>1920</v>
      </c>
      <c r="B12" s="159">
        <v>1080</v>
      </c>
      <c r="G12" s="159" t="s">
        <v>641</v>
      </c>
      <c r="H12" s="159" t="s">
        <v>642</v>
      </c>
      <c r="L12" s="159" t="s">
        <v>643</v>
      </c>
      <c r="T12" s="159">
        <f>T11*10</f>
        <v>90</v>
      </c>
    </row>
    <row r="13" spans="1:21" x14ac:dyDescent="0.25">
      <c r="A13" s="159">
        <v>5004</v>
      </c>
      <c r="B13" s="159">
        <v>2490</v>
      </c>
      <c r="F13" s="159">
        <f>CEILING(((2200-1950)/2) *0.375,1)</f>
        <v>47</v>
      </c>
      <c r="G13" s="159">
        <f>F13+128</f>
        <v>175</v>
      </c>
      <c r="H13" s="159" t="s">
        <v>644</v>
      </c>
      <c r="I13" s="159">
        <v>23</v>
      </c>
      <c r="J13" s="159" t="s">
        <v>645</v>
      </c>
      <c r="L13" s="159">
        <f>I13+5</f>
        <v>28</v>
      </c>
      <c r="M13" s="159" t="s">
        <v>645</v>
      </c>
      <c r="N13" s="159">
        <f>G13+5</f>
        <v>180</v>
      </c>
      <c r="O13" s="159" t="s">
        <v>644</v>
      </c>
      <c r="S13" s="159">
        <f>25.4*(1/16)</f>
        <v>1.5874999999999999</v>
      </c>
    </row>
    <row r="14" spans="1:21" x14ac:dyDescent="0.25">
      <c r="A14" s="159">
        <f>A13*0.35</f>
        <v>1751.3999999999999</v>
      </c>
      <c r="B14" s="159">
        <f>B13*0.35</f>
        <v>871.5</v>
      </c>
      <c r="F14" s="159">
        <f>FLOOR(350*0.375,1)</f>
        <v>131</v>
      </c>
      <c r="G14" s="159">
        <v>131</v>
      </c>
      <c r="H14" s="159" t="s">
        <v>646</v>
      </c>
      <c r="I14" s="159">
        <v>187</v>
      </c>
      <c r="J14" s="159" t="s">
        <v>647</v>
      </c>
    </row>
    <row r="15" spans="1:21" x14ac:dyDescent="0.25">
      <c r="A15" s="159">
        <f>A12/A13</f>
        <v>0.38369304556354916</v>
      </c>
      <c r="B15" s="159">
        <f>B12/B13</f>
        <v>0.43373493975903615</v>
      </c>
      <c r="F15" s="159">
        <f>FLOOR(50*0.375,1)</f>
        <v>18</v>
      </c>
      <c r="G15" s="159">
        <f>G13+150</f>
        <v>325</v>
      </c>
      <c r="H15" s="159" t="s">
        <v>644</v>
      </c>
      <c r="I15" s="159">
        <v>23</v>
      </c>
      <c r="J15" s="159" t="s">
        <v>645</v>
      </c>
      <c r="L15" s="159">
        <f>I15+5</f>
        <v>28</v>
      </c>
      <c r="M15" s="159" t="s">
        <v>645</v>
      </c>
      <c r="N15" s="159">
        <f>G15+5</f>
        <v>330</v>
      </c>
      <c r="O15" s="159" t="s">
        <v>644</v>
      </c>
    </row>
    <row r="16" spans="1:21" x14ac:dyDescent="0.25">
      <c r="G16" s="159">
        <v>131</v>
      </c>
      <c r="H16" s="159" t="s">
        <v>646</v>
      </c>
      <c r="I16" s="159">
        <v>187</v>
      </c>
      <c r="J16" s="159" t="s">
        <v>647</v>
      </c>
    </row>
    <row r="17" spans="1:15" x14ac:dyDescent="0.25">
      <c r="G17" s="159">
        <f>G15+150</f>
        <v>475</v>
      </c>
      <c r="H17" s="159" t="s">
        <v>644</v>
      </c>
      <c r="I17" s="159">
        <v>23</v>
      </c>
      <c r="J17" s="159" t="s">
        <v>645</v>
      </c>
      <c r="L17" s="159">
        <f>I17+5</f>
        <v>28</v>
      </c>
      <c r="M17" s="159" t="s">
        <v>645</v>
      </c>
      <c r="N17" s="159">
        <f>G17+5</f>
        <v>480</v>
      </c>
      <c r="O17" s="159" t="s">
        <v>644</v>
      </c>
    </row>
    <row r="18" spans="1:15" x14ac:dyDescent="0.25">
      <c r="A18" s="159">
        <v>1800</v>
      </c>
      <c r="B18" s="159">
        <v>1000</v>
      </c>
      <c r="G18" s="159">
        <v>131</v>
      </c>
      <c r="H18" s="159" t="s">
        <v>646</v>
      </c>
      <c r="I18" s="159">
        <v>187</v>
      </c>
      <c r="J18" s="159" t="s">
        <v>647</v>
      </c>
    </row>
    <row r="19" spans="1:15" x14ac:dyDescent="0.25">
      <c r="A19" s="159">
        <f>A18*0.375</f>
        <v>675</v>
      </c>
      <c r="B19" s="159">
        <f>B18*0.375</f>
        <v>375</v>
      </c>
      <c r="G19" s="159">
        <f>G17+150</f>
        <v>625</v>
      </c>
      <c r="H19" s="159" t="s">
        <v>644</v>
      </c>
      <c r="I19" s="159">
        <v>23</v>
      </c>
      <c r="J19" s="159" t="s">
        <v>645</v>
      </c>
      <c r="L19" s="159">
        <f>I19+5</f>
        <v>28</v>
      </c>
      <c r="M19" s="159" t="s">
        <v>645</v>
      </c>
      <c r="N19" s="159">
        <f>G19+5</f>
        <v>630</v>
      </c>
      <c r="O19" s="159" t="s">
        <v>644</v>
      </c>
    </row>
    <row r="20" spans="1:15" x14ac:dyDescent="0.25">
      <c r="G20" s="159">
        <v>131</v>
      </c>
      <c r="H20" s="159" t="s">
        <v>646</v>
      </c>
      <c r="I20" s="159">
        <v>187</v>
      </c>
      <c r="J20" s="159" t="s">
        <v>647</v>
      </c>
    </row>
    <row r="21" spans="1:15" x14ac:dyDescent="0.25">
      <c r="D21" s="159">
        <f>FLOOR(2200/350,1)</f>
        <v>6</v>
      </c>
      <c r="E21" s="159">
        <f>(350*5) + ((5-1)*50)</f>
        <v>1950</v>
      </c>
      <c r="G21" s="159">
        <f>G19+150</f>
        <v>775</v>
      </c>
      <c r="H21" s="159" t="s">
        <v>644</v>
      </c>
      <c r="I21" s="159">
        <v>23</v>
      </c>
      <c r="J21" s="159" t="s">
        <v>645</v>
      </c>
      <c r="L21" s="159">
        <f>I21+5</f>
        <v>28</v>
      </c>
      <c r="M21" s="159" t="s">
        <v>645</v>
      </c>
      <c r="N21" s="159">
        <f>G21+5</f>
        <v>780</v>
      </c>
      <c r="O21" s="159" t="s">
        <v>644</v>
      </c>
    </row>
    <row r="22" spans="1:15" x14ac:dyDescent="0.25">
      <c r="G22" s="159">
        <v>131</v>
      </c>
      <c r="H22" s="159" t="s">
        <v>646</v>
      </c>
      <c r="I22" s="159">
        <v>187</v>
      </c>
      <c r="J22" s="159" t="s">
        <v>647</v>
      </c>
    </row>
    <row r="25" spans="1:15" x14ac:dyDescent="0.25">
      <c r="A25" s="159" t="s">
        <v>648</v>
      </c>
      <c r="B25" s="159" t="s">
        <v>649</v>
      </c>
      <c r="G25" s="159" t="s">
        <v>650</v>
      </c>
      <c r="L25" s="159" t="s">
        <v>643</v>
      </c>
    </row>
    <row r="26" spans="1:15" x14ac:dyDescent="0.25">
      <c r="A26" s="159">
        <v>23</v>
      </c>
      <c r="B26" s="159">
        <v>128</v>
      </c>
      <c r="F26" s="159">
        <f>FLOOR((70*0.375),1)</f>
        <v>26</v>
      </c>
      <c r="G26" s="159">
        <f>I13+I14+F26</f>
        <v>236</v>
      </c>
      <c r="H26" s="159" t="s">
        <v>645</v>
      </c>
      <c r="I26" s="159">
        <v>156</v>
      </c>
      <c r="J26" s="159" t="s">
        <v>644</v>
      </c>
      <c r="L26" s="159">
        <f>G26+5</f>
        <v>241</v>
      </c>
      <c r="N26" s="159">
        <f>I26+5</f>
        <v>161</v>
      </c>
    </row>
    <row r="27" spans="1:15" x14ac:dyDescent="0.25">
      <c r="G27" s="159">
        <v>675</v>
      </c>
      <c r="H27" s="159" t="s">
        <v>647</v>
      </c>
      <c r="I27" s="159">
        <v>375</v>
      </c>
      <c r="J27" s="159" t="s">
        <v>646</v>
      </c>
    </row>
    <row r="28" spans="1:15" x14ac:dyDescent="0.25">
      <c r="G28" s="159">
        <v>236</v>
      </c>
      <c r="H28" s="159" t="s">
        <v>645</v>
      </c>
      <c r="I28" s="159">
        <v>549</v>
      </c>
      <c r="J28" s="159" t="s">
        <v>644</v>
      </c>
      <c r="L28" s="159">
        <f>G28+5</f>
        <v>241</v>
      </c>
      <c r="N28" s="159">
        <f>I28+5</f>
        <v>554</v>
      </c>
    </row>
    <row r="29" spans="1:15" x14ac:dyDescent="0.25">
      <c r="G29" s="159">
        <v>675</v>
      </c>
      <c r="H29" s="159" t="s">
        <v>647</v>
      </c>
      <c r="I29" s="159">
        <v>375</v>
      </c>
      <c r="J29" s="159" t="s">
        <v>646</v>
      </c>
    </row>
    <row r="31" spans="1:15" x14ac:dyDescent="0.25">
      <c r="A31" s="159">
        <f>SUM(A33:A42)</f>
        <v>4010</v>
      </c>
      <c r="B31" s="159">
        <f>5000-A31</f>
        <v>990</v>
      </c>
      <c r="C31" s="159">
        <f>FLOOR(A31*0.375,1)</f>
        <v>1503</v>
      </c>
      <c r="D31" s="159">
        <f>C31+23</f>
        <v>1526</v>
      </c>
    </row>
    <row r="32" spans="1:15" x14ac:dyDescent="0.25">
      <c r="G32" s="159" t="s">
        <v>651</v>
      </c>
      <c r="L32" s="159" t="s">
        <v>643</v>
      </c>
    </row>
    <row r="33" spans="1:14" x14ac:dyDescent="0.25">
      <c r="A33" s="159">
        <v>500</v>
      </c>
      <c r="D33" s="159" t="s">
        <v>505</v>
      </c>
      <c r="E33" s="159">
        <v>1500</v>
      </c>
      <c r="F33" s="159">
        <f>FLOOR(E33*0.375,1)</f>
        <v>562</v>
      </c>
      <c r="G33" s="159">
        <v>938</v>
      </c>
      <c r="H33" s="159" t="s">
        <v>645</v>
      </c>
      <c r="I33" s="159">
        <v>128</v>
      </c>
      <c r="J33" s="159" t="s">
        <v>644</v>
      </c>
      <c r="L33" s="159">
        <f>G33+5</f>
        <v>943</v>
      </c>
      <c r="N33" s="159">
        <f>I33+5</f>
        <v>133</v>
      </c>
    </row>
    <row r="34" spans="1:14" x14ac:dyDescent="0.25">
      <c r="A34" s="159">
        <v>70</v>
      </c>
      <c r="D34" s="159" t="s">
        <v>328</v>
      </c>
      <c r="E34" s="159">
        <v>700</v>
      </c>
      <c r="F34" s="159">
        <f>FLOOR(E34*0.375,1)</f>
        <v>262</v>
      </c>
      <c r="G34" s="159">
        <v>562</v>
      </c>
      <c r="H34" s="159" t="s">
        <v>647</v>
      </c>
      <c r="I34" s="159">
        <v>262</v>
      </c>
      <c r="J34" s="159" t="s">
        <v>646</v>
      </c>
    </row>
    <row r="35" spans="1:14" x14ac:dyDescent="0.25">
      <c r="A35" s="159">
        <v>1800</v>
      </c>
      <c r="D35" s="159" t="s">
        <v>652</v>
      </c>
      <c r="E35" s="159">
        <f>E34+50</f>
        <v>750</v>
      </c>
      <c r="F35" s="159">
        <f>FLOOR(E35*0.375,1)</f>
        <v>281</v>
      </c>
      <c r="G35" s="159">
        <v>938</v>
      </c>
      <c r="H35" s="159" t="s">
        <v>645</v>
      </c>
      <c r="I35" s="159">
        <f>I33+281</f>
        <v>409</v>
      </c>
      <c r="J35" s="159" t="s">
        <v>644</v>
      </c>
      <c r="L35" s="159">
        <f>G35+5</f>
        <v>943</v>
      </c>
      <c r="N35" s="159">
        <f>I35+5</f>
        <v>414</v>
      </c>
    </row>
    <row r="36" spans="1:14" x14ac:dyDescent="0.25">
      <c r="A36" s="159">
        <v>70</v>
      </c>
      <c r="G36" s="159">
        <v>562</v>
      </c>
      <c r="H36" s="159" t="s">
        <v>647</v>
      </c>
      <c r="I36" s="159">
        <v>262</v>
      </c>
      <c r="J36" s="159" t="s">
        <v>646</v>
      </c>
    </row>
    <row r="37" spans="1:14" x14ac:dyDescent="0.25">
      <c r="A37" s="159">
        <v>1500</v>
      </c>
      <c r="G37" s="159">
        <v>938</v>
      </c>
      <c r="H37" s="159" t="s">
        <v>645</v>
      </c>
      <c r="I37" s="159">
        <f>I35+281</f>
        <v>690</v>
      </c>
      <c r="J37" s="159" t="s">
        <v>644</v>
      </c>
      <c r="L37" s="159">
        <f>G37+5</f>
        <v>943</v>
      </c>
      <c r="N37" s="159">
        <f>I37+5</f>
        <v>695</v>
      </c>
    </row>
    <row r="38" spans="1:14" x14ac:dyDescent="0.25">
      <c r="A38" s="159">
        <v>70</v>
      </c>
      <c r="G38" s="159">
        <v>562</v>
      </c>
      <c r="H38" s="159" t="s">
        <v>647</v>
      </c>
      <c r="I38" s="159">
        <v>262</v>
      </c>
      <c r="J38" s="159" t="s">
        <v>646</v>
      </c>
    </row>
    <row r="41" spans="1:14" x14ac:dyDescent="0.25">
      <c r="G41" s="159" t="s">
        <v>653</v>
      </c>
      <c r="L41" s="159" t="s">
        <v>643</v>
      </c>
    </row>
    <row r="42" spans="1:14" x14ac:dyDescent="0.25">
      <c r="D42" s="159" t="s">
        <v>505</v>
      </c>
      <c r="E42" s="159">
        <v>900</v>
      </c>
      <c r="F42" s="159">
        <f>FLOOR(E42*0.375,1)</f>
        <v>337</v>
      </c>
      <c r="G42" s="159">
        <v>1526</v>
      </c>
      <c r="H42" s="159" t="s">
        <v>645</v>
      </c>
      <c r="I42" s="159">
        <v>128</v>
      </c>
      <c r="J42" s="159" t="s">
        <v>644</v>
      </c>
      <c r="L42" s="159">
        <f>G42+5</f>
        <v>1531</v>
      </c>
      <c r="N42" s="159">
        <f>I42+5</f>
        <v>133</v>
      </c>
    </row>
    <row r="43" spans="1:14" x14ac:dyDescent="0.25">
      <c r="D43" s="159" t="s">
        <v>328</v>
      </c>
      <c r="E43" s="159">
        <v>400</v>
      </c>
      <c r="F43" s="159">
        <f>FLOOR(E43*0.375,1)</f>
        <v>150</v>
      </c>
      <c r="G43" s="159">
        <v>337</v>
      </c>
      <c r="H43" s="159" t="s">
        <v>647</v>
      </c>
      <c r="I43" s="159">
        <v>150</v>
      </c>
      <c r="J43" s="159" t="s">
        <v>646</v>
      </c>
    </row>
    <row r="44" spans="1:14" x14ac:dyDescent="0.25">
      <c r="D44" s="159" t="s">
        <v>652</v>
      </c>
      <c r="E44" s="159">
        <f>E43+50</f>
        <v>450</v>
      </c>
      <c r="F44" s="159">
        <f>FLOOR(E44*0.375,1)</f>
        <v>168</v>
      </c>
      <c r="G44" s="159">
        <v>1526</v>
      </c>
      <c r="H44" s="159" t="s">
        <v>645</v>
      </c>
      <c r="I44" s="159">
        <f>I42+168</f>
        <v>296</v>
      </c>
      <c r="J44" s="159" t="s">
        <v>644</v>
      </c>
      <c r="L44" s="159">
        <f>G44+5</f>
        <v>1531</v>
      </c>
      <c r="N44" s="159">
        <f>I44+5</f>
        <v>301</v>
      </c>
    </row>
    <row r="45" spans="1:14" x14ac:dyDescent="0.25">
      <c r="G45" s="159">
        <v>337</v>
      </c>
      <c r="H45" s="159" t="s">
        <v>647</v>
      </c>
      <c r="I45" s="159">
        <v>150</v>
      </c>
      <c r="J45" s="159" t="s">
        <v>646</v>
      </c>
    </row>
    <row r="46" spans="1:14" x14ac:dyDescent="0.25">
      <c r="G46" s="159">
        <v>1526</v>
      </c>
      <c r="H46" s="159" t="s">
        <v>645</v>
      </c>
      <c r="I46" s="159">
        <f>I44+168</f>
        <v>464</v>
      </c>
      <c r="J46" s="159" t="s">
        <v>644</v>
      </c>
      <c r="L46" s="159">
        <f>G46+5</f>
        <v>1531</v>
      </c>
      <c r="N46" s="159">
        <f>I46+5</f>
        <v>469</v>
      </c>
    </row>
    <row r="47" spans="1:14" x14ac:dyDescent="0.25">
      <c r="G47" s="159">
        <v>337</v>
      </c>
      <c r="H47" s="159" t="s">
        <v>647</v>
      </c>
      <c r="I47" s="159">
        <v>150</v>
      </c>
      <c r="J47" s="159" t="s">
        <v>646</v>
      </c>
    </row>
    <row r="48" spans="1:14" x14ac:dyDescent="0.25">
      <c r="G48" s="159">
        <v>1526</v>
      </c>
      <c r="H48" s="159" t="s">
        <v>645</v>
      </c>
      <c r="I48" s="159">
        <f>I46+168</f>
        <v>632</v>
      </c>
      <c r="J48" s="159" t="s">
        <v>644</v>
      </c>
      <c r="L48" s="159">
        <f>G48+5</f>
        <v>1531</v>
      </c>
      <c r="N48" s="159">
        <f>I48+5</f>
        <v>637</v>
      </c>
    </row>
    <row r="49" spans="1:22" x14ac:dyDescent="0.25">
      <c r="G49" s="159">
        <v>337</v>
      </c>
      <c r="H49" s="159" t="s">
        <v>647</v>
      </c>
      <c r="I49" s="159">
        <v>150</v>
      </c>
      <c r="J49" s="159" t="s">
        <v>646</v>
      </c>
    </row>
    <row r="50" spans="1:22" x14ac:dyDescent="0.25">
      <c r="G50" s="159">
        <v>1526</v>
      </c>
      <c r="H50" s="159" t="s">
        <v>645</v>
      </c>
      <c r="I50" s="159">
        <f>I48+168</f>
        <v>800</v>
      </c>
      <c r="J50" s="159" t="s">
        <v>644</v>
      </c>
      <c r="L50" s="159">
        <f>G50+5</f>
        <v>1531</v>
      </c>
      <c r="N50" s="159">
        <f>I50+5</f>
        <v>805</v>
      </c>
    </row>
    <row r="51" spans="1:22" x14ac:dyDescent="0.25">
      <c r="G51" s="159">
        <v>337</v>
      </c>
      <c r="H51" s="159" t="s">
        <v>647</v>
      </c>
      <c r="I51" s="159">
        <v>150</v>
      </c>
      <c r="J51" s="159" t="s">
        <v>646</v>
      </c>
    </row>
    <row r="55" spans="1:22" x14ac:dyDescent="0.25">
      <c r="B55" s="222" t="s">
        <v>1524</v>
      </c>
      <c r="D55" s="222" t="s">
        <v>1535</v>
      </c>
      <c r="E55" s="222" t="s">
        <v>1536</v>
      </c>
      <c r="F55" s="222" t="s">
        <v>1531</v>
      </c>
      <c r="H55" s="222" t="s">
        <v>1535</v>
      </c>
      <c r="I55" s="222" t="s">
        <v>1536</v>
      </c>
      <c r="J55" s="222" t="s">
        <v>1532</v>
      </c>
      <c r="L55" s="222" t="s">
        <v>1535</v>
      </c>
      <c r="M55" s="222" t="s">
        <v>1536</v>
      </c>
    </row>
    <row r="56" spans="1:22" x14ac:dyDescent="0.25">
      <c r="A56" s="222" t="s">
        <v>1525</v>
      </c>
      <c r="B56" s="159">
        <v>750</v>
      </c>
      <c r="C56" s="222" t="s">
        <v>1533</v>
      </c>
      <c r="D56" s="223">
        <v>81</v>
      </c>
      <c r="E56" s="223">
        <v>81</v>
      </c>
      <c r="F56" s="223">
        <v>800</v>
      </c>
      <c r="G56" s="223" t="s">
        <v>1533</v>
      </c>
      <c r="H56" s="223">
        <v>673</v>
      </c>
      <c r="I56" s="223">
        <v>673</v>
      </c>
      <c r="J56" s="223">
        <v>700</v>
      </c>
      <c r="K56" s="223" t="s">
        <v>1533</v>
      </c>
      <c r="L56" s="223">
        <v>1265</v>
      </c>
      <c r="M56" s="223">
        <v>1265</v>
      </c>
      <c r="R56" s="222" t="s">
        <v>1563</v>
      </c>
      <c r="T56" s="222" t="s">
        <v>1560</v>
      </c>
      <c r="U56" s="222" t="s">
        <v>1561</v>
      </c>
      <c r="V56" s="222" t="s">
        <v>1562</v>
      </c>
    </row>
    <row r="57" spans="1:22" x14ac:dyDescent="0.25">
      <c r="A57" s="222" t="s">
        <v>1526</v>
      </c>
      <c r="B57" s="159">
        <v>1600</v>
      </c>
      <c r="C57" s="222" t="s">
        <v>1534</v>
      </c>
      <c r="D57" s="159">
        <v>94</v>
      </c>
      <c r="E57" s="224">
        <f>E62+D64+E73</f>
        <v>655</v>
      </c>
      <c r="F57" s="159">
        <v>1575</v>
      </c>
      <c r="G57" s="222" t="s">
        <v>1534</v>
      </c>
      <c r="H57" s="159">
        <v>94</v>
      </c>
      <c r="I57" s="224">
        <f>I62+H64+I73</f>
        <v>638</v>
      </c>
      <c r="J57" s="159">
        <v>1550</v>
      </c>
      <c r="K57" s="222" t="s">
        <v>1534</v>
      </c>
      <c r="L57" s="159">
        <v>94</v>
      </c>
      <c r="M57" s="224">
        <f>M62+L64+M73</f>
        <v>673</v>
      </c>
      <c r="R57" s="159">
        <v>1500</v>
      </c>
      <c r="T57" s="159">
        <f>FLOOR(R57/25.4,1)</f>
        <v>59</v>
      </c>
      <c r="U57" s="159">
        <f>((R57-(T57*25.4))/(25.4/16))</f>
        <v>0.88188976377958495</v>
      </c>
      <c r="V57" s="159">
        <v>16</v>
      </c>
    </row>
    <row r="58" spans="1:22" x14ac:dyDescent="0.25">
      <c r="A58" s="222"/>
      <c r="C58" s="223" t="s">
        <v>1537</v>
      </c>
      <c r="D58" s="223">
        <v>560</v>
      </c>
      <c r="E58" s="223">
        <v>560</v>
      </c>
      <c r="F58" s="223"/>
      <c r="G58" s="223" t="s">
        <v>1537</v>
      </c>
      <c r="H58" s="223">
        <v>551</v>
      </c>
      <c r="I58" s="223">
        <v>551</v>
      </c>
      <c r="J58" s="223"/>
      <c r="K58" s="223" t="s">
        <v>1537</v>
      </c>
      <c r="L58" s="223">
        <v>543</v>
      </c>
      <c r="M58" s="223">
        <v>543</v>
      </c>
    </row>
    <row r="59" spans="1:22" x14ac:dyDescent="0.25">
      <c r="C59" s="223" t="s">
        <v>1538</v>
      </c>
      <c r="D59" s="223">
        <v>263</v>
      </c>
      <c r="E59" s="223">
        <v>263</v>
      </c>
      <c r="F59" s="223"/>
      <c r="G59" s="223" t="s">
        <v>1538</v>
      </c>
      <c r="H59" s="223">
        <v>280</v>
      </c>
      <c r="I59" s="223">
        <v>280</v>
      </c>
      <c r="J59" s="223"/>
      <c r="K59" s="223" t="s">
        <v>1538</v>
      </c>
      <c r="L59" s="223">
        <v>245</v>
      </c>
      <c r="M59" s="223">
        <v>245</v>
      </c>
    </row>
    <row r="60" spans="1:22" x14ac:dyDescent="0.25">
      <c r="C60" s="223" t="s">
        <v>1539</v>
      </c>
      <c r="D60" s="223" t="s">
        <v>1540</v>
      </c>
      <c r="E60" s="223"/>
      <c r="F60" s="223"/>
      <c r="G60" s="223" t="s">
        <v>1539</v>
      </c>
      <c r="H60" s="223" t="s">
        <v>1543</v>
      </c>
      <c r="I60" s="223"/>
      <c r="J60" s="223"/>
      <c r="K60" s="223" t="s">
        <v>1539</v>
      </c>
      <c r="L60" s="223" t="s">
        <v>1544</v>
      </c>
      <c r="M60" s="223"/>
    </row>
    <row r="61" spans="1:22" x14ac:dyDescent="0.25">
      <c r="A61" s="222" t="s">
        <v>1527</v>
      </c>
      <c r="B61" s="159">
        <v>700</v>
      </c>
      <c r="C61" s="223" t="s">
        <v>1533</v>
      </c>
      <c r="D61" s="223">
        <v>81</v>
      </c>
      <c r="E61" s="223">
        <v>81</v>
      </c>
      <c r="F61" s="223">
        <v>750</v>
      </c>
      <c r="G61" s="223" t="s">
        <v>1533</v>
      </c>
      <c r="H61" s="223">
        <v>673</v>
      </c>
      <c r="I61" s="223">
        <v>673</v>
      </c>
      <c r="J61" s="223">
        <v>800</v>
      </c>
      <c r="K61" s="223" t="s">
        <v>1533</v>
      </c>
      <c r="L61" s="223">
        <v>1265</v>
      </c>
      <c r="M61" s="223">
        <v>1265</v>
      </c>
    </row>
    <row r="62" spans="1:22" x14ac:dyDescent="0.25">
      <c r="A62" s="222" t="s">
        <v>1528</v>
      </c>
      <c r="B62" s="159">
        <v>1400</v>
      </c>
      <c r="C62" s="222" t="s">
        <v>1534</v>
      </c>
      <c r="D62" s="159">
        <v>375</v>
      </c>
      <c r="E62" s="224">
        <f>E67+D69+E73</f>
        <v>392</v>
      </c>
      <c r="F62" s="159">
        <v>1600</v>
      </c>
      <c r="G62" s="222" t="s">
        <v>1534</v>
      </c>
      <c r="H62" s="159">
        <v>392</v>
      </c>
      <c r="I62" s="224">
        <f>I67+H69+I73</f>
        <v>357</v>
      </c>
      <c r="J62" s="159">
        <v>1500</v>
      </c>
      <c r="K62" s="222" t="s">
        <v>1534</v>
      </c>
      <c r="L62" s="159">
        <v>367</v>
      </c>
      <c r="M62" s="224">
        <f>M67+L69+M73</f>
        <v>375</v>
      </c>
      <c r="U62" s="159">
        <f>((R57-(T57*25.4))/(25.4/16))*10</f>
        <v>8.8188976377958497</v>
      </c>
    </row>
    <row r="63" spans="1:22" x14ac:dyDescent="0.25">
      <c r="A63" s="222"/>
      <c r="C63" s="223" t="s">
        <v>1537</v>
      </c>
      <c r="D63" s="223">
        <v>490</v>
      </c>
      <c r="E63" s="223">
        <v>490</v>
      </c>
      <c r="F63" s="223"/>
      <c r="G63" s="223" t="s">
        <v>1537</v>
      </c>
      <c r="H63" s="223">
        <v>560</v>
      </c>
      <c r="I63" s="223">
        <v>560</v>
      </c>
      <c r="J63" s="223"/>
      <c r="K63" s="223" t="s">
        <v>1537</v>
      </c>
      <c r="L63" s="223">
        <v>525</v>
      </c>
      <c r="M63" s="223">
        <v>525</v>
      </c>
    </row>
    <row r="64" spans="1:22" x14ac:dyDescent="0.25">
      <c r="C64" s="223" t="s">
        <v>1538</v>
      </c>
      <c r="D64" s="223">
        <v>245</v>
      </c>
      <c r="E64" s="223">
        <v>245</v>
      </c>
      <c r="F64" s="223"/>
      <c r="G64" s="223" t="s">
        <v>1538</v>
      </c>
      <c r="H64" s="223">
        <v>263</v>
      </c>
      <c r="I64" s="223">
        <v>263</v>
      </c>
      <c r="J64" s="223"/>
      <c r="K64" s="223" t="s">
        <v>1538</v>
      </c>
      <c r="L64" s="223">
        <v>280</v>
      </c>
      <c r="M64" s="223">
        <v>280</v>
      </c>
    </row>
    <row r="65" spans="1:14" x14ac:dyDescent="0.25">
      <c r="C65" s="223" t="s">
        <v>1539</v>
      </c>
      <c r="D65" s="223" t="s">
        <v>1541</v>
      </c>
      <c r="E65" s="223"/>
      <c r="F65" s="223"/>
      <c r="G65" s="223" t="s">
        <v>1539</v>
      </c>
      <c r="H65" s="223" t="s">
        <v>1540</v>
      </c>
      <c r="I65" s="223"/>
      <c r="J65" s="223"/>
      <c r="K65" s="223" t="s">
        <v>1539</v>
      </c>
      <c r="L65" s="223" t="s">
        <v>1542</v>
      </c>
      <c r="M65" s="223"/>
    </row>
    <row r="66" spans="1:14" x14ac:dyDescent="0.25">
      <c r="A66" s="222" t="s">
        <v>1529</v>
      </c>
      <c r="B66" s="159">
        <v>800</v>
      </c>
      <c r="C66" s="223" t="s">
        <v>1533</v>
      </c>
      <c r="D66" s="223">
        <v>81</v>
      </c>
      <c r="E66" s="223">
        <v>81</v>
      </c>
      <c r="F66" s="223">
        <v>700</v>
      </c>
      <c r="G66" s="223" t="s">
        <v>1533</v>
      </c>
      <c r="H66" s="223">
        <v>673</v>
      </c>
      <c r="I66" s="223">
        <v>673</v>
      </c>
      <c r="J66" s="223">
        <v>750</v>
      </c>
      <c r="K66" s="223" t="s">
        <v>1533</v>
      </c>
      <c r="L66" s="223">
        <v>1265</v>
      </c>
      <c r="M66" s="223">
        <v>1265</v>
      </c>
    </row>
    <row r="67" spans="1:14" x14ac:dyDescent="0.25">
      <c r="A67" s="222" t="s">
        <v>1530</v>
      </c>
      <c r="B67" s="159">
        <v>1500</v>
      </c>
      <c r="C67" s="222" t="s">
        <v>1534</v>
      </c>
      <c r="D67" s="159">
        <v>638</v>
      </c>
      <c r="E67" s="224">
        <v>94</v>
      </c>
      <c r="F67" s="159">
        <v>1550</v>
      </c>
      <c r="G67" s="222" t="s">
        <v>1534</v>
      </c>
      <c r="H67" s="159">
        <v>673</v>
      </c>
      <c r="I67" s="224">
        <v>94</v>
      </c>
      <c r="J67" s="159">
        <v>1600</v>
      </c>
      <c r="K67" s="222" t="s">
        <v>1534</v>
      </c>
      <c r="L67" s="159">
        <v>655</v>
      </c>
      <c r="M67" s="224">
        <v>94</v>
      </c>
    </row>
    <row r="68" spans="1:14" x14ac:dyDescent="0.25">
      <c r="C68" s="223" t="s">
        <v>1537</v>
      </c>
      <c r="D68" s="223">
        <v>525</v>
      </c>
      <c r="E68" s="223">
        <v>525</v>
      </c>
      <c r="F68" s="223"/>
      <c r="G68" s="223" t="s">
        <v>1537</v>
      </c>
      <c r="H68" s="223">
        <v>543</v>
      </c>
      <c r="I68" s="223">
        <v>543</v>
      </c>
      <c r="J68" s="223"/>
      <c r="K68" s="223" t="s">
        <v>1537</v>
      </c>
      <c r="L68" s="223">
        <v>560</v>
      </c>
      <c r="M68" s="223">
        <v>560</v>
      </c>
    </row>
    <row r="69" spans="1:14" x14ac:dyDescent="0.25">
      <c r="C69" s="223" t="s">
        <v>1538</v>
      </c>
      <c r="D69" s="223">
        <v>280</v>
      </c>
      <c r="E69" s="223">
        <v>280</v>
      </c>
      <c r="F69" s="223"/>
      <c r="G69" s="223" t="s">
        <v>1538</v>
      </c>
      <c r="H69" s="223">
        <v>245</v>
      </c>
      <c r="I69" s="223">
        <v>245</v>
      </c>
      <c r="J69" s="223"/>
      <c r="K69" s="223" t="s">
        <v>1538</v>
      </c>
      <c r="L69" s="223">
        <v>263</v>
      </c>
      <c r="M69" s="223">
        <v>263</v>
      </c>
    </row>
    <row r="70" spans="1:14" x14ac:dyDescent="0.25">
      <c r="C70" s="222" t="s">
        <v>1539</v>
      </c>
      <c r="D70" s="159" t="s">
        <v>1542</v>
      </c>
      <c r="E70" s="224"/>
      <c r="F70" s="222"/>
      <c r="G70" s="222" t="s">
        <v>1539</v>
      </c>
      <c r="H70" s="159" t="s">
        <v>1544</v>
      </c>
      <c r="I70" s="224"/>
      <c r="J70" s="222"/>
      <c r="K70" s="222" t="s">
        <v>1539</v>
      </c>
      <c r="L70" s="159" t="s">
        <v>1540</v>
      </c>
      <c r="M70" s="224"/>
    </row>
    <row r="71" spans="1:14" x14ac:dyDescent="0.25">
      <c r="B71" s="159">
        <f>B56+B61+B66+100</f>
        <v>2350</v>
      </c>
      <c r="C71"/>
      <c r="D71" s="159">
        <v>823</v>
      </c>
      <c r="F71" s="159">
        <f>F56+F61+F66+100</f>
        <v>2350</v>
      </c>
      <c r="H71" s="159">
        <v>823</v>
      </c>
      <c r="J71" s="159">
        <f>J56+J61+J66+100</f>
        <v>2350</v>
      </c>
      <c r="L71" s="159">
        <v>823</v>
      </c>
    </row>
    <row r="73" spans="1:14" x14ac:dyDescent="0.25">
      <c r="D73" s="222" t="s">
        <v>1545</v>
      </c>
      <c r="E73" s="159">
        <v>18</v>
      </c>
      <c r="I73" s="159">
        <v>18</v>
      </c>
      <c r="M73" s="159">
        <v>18</v>
      </c>
    </row>
    <row r="75" spans="1:14" x14ac:dyDescent="0.25">
      <c r="A75" s="222" t="s">
        <v>1546</v>
      </c>
    </row>
    <row r="76" spans="1:14" x14ac:dyDescent="0.25">
      <c r="A76" s="222" t="s">
        <v>1547</v>
      </c>
      <c r="B76" s="159">
        <v>79</v>
      </c>
      <c r="D76" s="222" t="s">
        <v>1551</v>
      </c>
      <c r="F76" s="159">
        <f>B77 + ((B79)/2)</f>
        <v>506</v>
      </c>
      <c r="J76" s="159">
        <f>B77 + ((B79)/2)</f>
        <v>506</v>
      </c>
      <c r="N76" s="159">
        <f>B77 + ((B79)/2)</f>
        <v>506</v>
      </c>
    </row>
    <row r="77" spans="1:14" x14ac:dyDescent="0.25">
      <c r="A77" s="222" t="s">
        <v>1548</v>
      </c>
      <c r="B77" s="159">
        <v>64</v>
      </c>
      <c r="D77" s="222" t="s">
        <v>1552</v>
      </c>
      <c r="F77" s="159">
        <f>CEILING(D71/2,1)</f>
        <v>412</v>
      </c>
      <c r="J77" s="159">
        <f>CEILING(H71/2,1)</f>
        <v>412</v>
      </c>
      <c r="N77" s="159">
        <f>CEILING(L71/2,1)</f>
        <v>412</v>
      </c>
    </row>
    <row r="78" spans="1:14" x14ac:dyDescent="0.25">
      <c r="A78" s="222" t="s">
        <v>1549</v>
      </c>
      <c r="B78" s="159">
        <v>1762</v>
      </c>
      <c r="D78" s="222" t="s">
        <v>1553</v>
      </c>
      <c r="F78" s="159">
        <f>D59</f>
        <v>263</v>
      </c>
      <c r="J78" s="159">
        <f>H59</f>
        <v>280</v>
      </c>
      <c r="N78" s="159">
        <f>L59</f>
        <v>245</v>
      </c>
    </row>
    <row r="79" spans="1:14" x14ac:dyDescent="0.25">
      <c r="A79" s="222" t="s">
        <v>1550</v>
      </c>
      <c r="B79" s="159">
        <v>884</v>
      </c>
      <c r="F79" s="159">
        <f>F76+F77-F78</f>
        <v>655</v>
      </c>
      <c r="J79" s="159">
        <f>J76+J77-J78</f>
        <v>638</v>
      </c>
      <c r="N79" s="159">
        <f>N76+N77-N78</f>
        <v>673</v>
      </c>
    </row>
    <row r="81" spans="3:14" x14ac:dyDescent="0.25">
      <c r="D81" s="222" t="s">
        <v>1554</v>
      </c>
      <c r="F81" s="159">
        <f>F79</f>
        <v>655</v>
      </c>
      <c r="J81" s="159">
        <f>J79</f>
        <v>638</v>
      </c>
      <c r="N81" s="159">
        <f>N79</f>
        <v>673</v>
      </c>
    </row>
    <row r="82" spans="3:14" x14ac:dyDescent="0.25">
      <c r="D82" s="222" t="s">
        <v>1553</v>
      </c>
      <c r="F82" s="159">
        <f>D64</f>
        <v>245</v>
      </c>
      <c r="J82" s="159">
        <f>H64</f>
        <v>263</v>
      </c>
      <c r="N82" s="159">
        <f>L64</f>
        <v>280</v>
      </c>
    </row>
    <row r="83" spans="3:14" x14ac:dyDescent="0.25">
      <c r="D83" s="222" t="s">
        <v>1555</v>
      </c>
      <c r="F83" s="159">
        <f>E73</f>
        <v>18</v>
      </c>
      <c r="J83" s="159">
        <f>I73</f>
        <v>18</v>
      </c>
      <c r="N83" s="159">
        <f>M73</f>
        <v>18</v>
      </c>
    </row>
    <row r="84" spans="3:14" x14ac:dyDescent="0.25">
      <c r="F84" s="159">
        <f>F81-F82-F83</f>
        <v>392</v>
      </c>
      <c r="J84" s="159">
        <f>J81-J82-J83</f>
        <v>357</v>
      </c>
      <c r="N84" s="159">
        <f>N81-N82-N83</f>
        <v>375</v>
      </c>
    </row>
    <row r="86" spans="3:14" x14ac:dyDescent="0.25">
      <c r="D86" s="222" t="s">
        <v>1554</v>
      </c>
      <c r="F86" s="159">
        <f>F84</f>
        <v>392</v>
      </c>
      <c r="J86" s="159">
        <f>J84</f>
        <v>357</v>
      </c>
      <c r="N86" s="159">
        <f>N84</f>
        <v>375</v>
      </c>
    </row>
    <row r="87" spans="3:14" x14ac:dyDescent="0.25">
      <c r="D87" s="222" t="s">
        <v>1553</v>
      </c>
      <c r="F87" s="159">
        <f>D69</f>
        <v>280</v>
      </c>
      <c r="J87" s="159">
        <f>H69</f>
        <v>245</v>
      </c>
      <c r="N87" s="159">
        <f>L69</f>
        <v>263</v>
      </c>
    </row>
    <row r="88" spans="3:14" x14ac:dyDescent="0.25">
      <c r="D88" s="222" t="s">
        <v>1555</v>
      </c>
      <c r="F88" s="159">
        <f>E73</f>
        <v>18</v>
      </c>
      <c r="J88" s="159">
        <f>I73</f>
        <v>18</v>
      </c>
      <c r="N88" s="159">
        <f>M73</f>
        <v>18</v>
      </c>
    </row>
    <row r="89" spans="3:14" x14ac:dyDescent="0.25">
      <c r="F89" s="159">
        <f>F86-F87-F88</f>
        <v>94</v>
      </c>
      <c r="J89" s="159">
        <f>J86-J87-J88</f>
        <v>94</v>
      </c>
      <c r="N89" s="159">
        <f>N86-N87-N88</f>
        <v>94</v>
      </c>
    </row>
    <row r="91" spans="3:14" x14ac:dyDescent="0.25">
      <c r="C91" s="159">
        <f>64 + (884/2) + (823/2) - 280</f>
        <v>637.5</v>
      </c>
      <c r="D91" s="222" t="s">
        <v>1559</v>
      </c>
    </row>
    <row r="92" spans="3:14" x14ac:dyDescent="0.25">
      <c r="C92" s="159">
        <f>FLOOR(((884-823)/2)+64,1)</f>
        <v>94</v>
      </c>
      <c r="D92" s="222" t="s">
        <v>1556</v>
      </c>
    </row>
    <row r="94" spans="3:14" x14ac:dyDescent="0.25">
      <c r="D94" s="222" t="s">
        <v>1558</v>
      </c>
    </row>
    <row r="95" spans="3:14" x14ac:dyDescent="0.25">
      <c r="D95" s="159" t="s">
        <v>1557</v>
      </c>
    </row>
    <row r="97" spans="1:22" x14ac:dyDescent="0.25">
      <c r="B97" s="222" t="s">
        <v>1524</v>
      </c>
      <c r="D97" s="222" t="s">
        <v>1535</v>
      </c>
      <c r="E97" s="222"/>
      <c r="F97" s="222" t="s">
        <v>1531</v>
      </c>
      <c r="H97" s="222" t="s">
        <v>1535</v>
      </c>
      <c r="I97" s="222"/>
      <c r="J97" s="222" t="s">
        <v>1532</v>
      </c>
      <c r="L97" s="222" t="s">
        <v>1535</v>
      </c>
      <c r="M97" s="222"/>
    </row>
    <row r="98" spans="1:22" x14ac:dyDescent="0.25">
      <c r="A98" s="222" t="s">
        <v>1525</v>
      </c>
      <c r="B98" s="159">
        <v>750</v>
      </c>
      <c r="C98" s="222" t="s">
        <v>1533</v>
      </c>
      <c r="D98" s="112">
        <f>CEILING((540+(D113/2)-D100),1)</f>
        <v>687</v>
      </c>
      <c r="E98" s="223">
        <v>965</v>
      </c>
      <c r="F98" s="223">
        <v>800</v>
      </c>
      <c r="G98" s="223" t="s">
        <v>1533</v>
      </c>
      <c r="H98" s="112">
        <f>CEILING((540+(H113/2)-H100),1)</f>
        <v>670</v>
      </c>
      <c r="I98" s="223">
        <v>915</v>
      </c>
      <c r="J98" s="223">
        <v>700</v>
      </c>
      <c r="K98" s="223" t="s">
        <v>1533</v>
      </c>
      <c r="L98" s="116">
        <f>CEILING((540+(L113/2)-L100),1)</f>
        <v>704</v>
      </c>
      <c r="M98" s="223">
        <v>1015</v>
      </c>
      <c r="R98" s="222" t="s">
        <v>1563</v>
      </c>
      <c r="T98" s="222" t="s">
        <v>1560</v>
      </c>
      <c r="U98" s="222" t="s">
        <v>1561</v>
      </c>
      <c r="V98" s="222" t="s">
        <v>1562</v>
      </c>
    </row>
    <row r="99" spans="1:22" x14ac:dyDescent="0.25">
      <c r="A99" s="222" t="s">
        <v>1526</v>
      </c>
      <c r="B99" s="159">
        <v>1600</v>
      </c>
      <c r="C99" s="222" t="s">
        <v>1534</v>
      </c>
      <c r="D99" s="112">
        <f>CEILING((1775-D114),1)</f>
        <v>1223</v>
      </c>
      <c r="E99" s="224"/>
      <c r="F99" s="159">
        <v>1575</v>
      </c>
      <c r="G99" s="222" t="s">
        <v>1534</v>
      </c>
      <c r="H99" s="112">
        <f>CEILING((D99-H114-I116),1)</f>
        <v>639</v>
      </c>
      <c r="I99" s="224">
        <v>1192</v>
      </c>
      <c r="J99" s="159">
        <v>1550</v>
      </c>
      <c r="K99" s="222" t="s">
        <v>1534</v>
      </c>
      <c r="L99" s="116">
        <f>CEILING((H99-L114-M116),1)</f>
        <v>55</v>
      </c>
      <c r="M99" s="224">
        <v>4</v>
      </c>
      <c r="R99" s="159">
        <v>1500</v>
      </c>
      <c r="T99" s="159">
        <f>FLOOR(R99/25.4,1)</f>
        <v>59</v>
      </c>
      <c r="U99" s="159">
        <f>((R99-(T99*25.4))/(25.4/16))</f>
        <v>0.88188976377958495</v>
      </c>
      <c r="V99" s="159">
        <v>16</v>
      </c>
    </row>
    <row r="100" spans="1:22" x14ac:dyDescent="0.25">
      <c r="A100" s="222"/>
      <c r="C100" s="223" t="s">
        <v>1537</v>
      </c>
      <c r="D100" s="112">
        <f>CEILING((B98*0.345),1)</f>
        <v>259</v>
      </c>
      <c r="E100" s="223"/>
      <c r="F100" s="223"/>
      <c r="G100" s="223" t="s">
        <v>1537</v>
      </c>
      <c r="H100" s="112">
        <f>CEILING((F98*0.345),1)</f>
        <v>276</v>
      </c>
      <c r="I100" s="223"/>
      <c r="J100" s="223"/>
      <c r="K100" s="223" t="s">
        <v>1537</v>
      </c>
      <c r="L100" s="112">
        <f>CEILING((J98*0.345),1)</f>
        <v>242</v>
      </c>
      <c r="M100" s="223"/>
    </row>
    <row r="101" spans="1:22" x14ac:dyDescent="0.25">
      <c r="C101" s="223" t="s">
        <v>1538</v>
      </c>
      <c r="D101" s="112">
        <f>CEILING((B99*0.345),1)</f>
        <v>552</v>
      </c>
      <c r="E101" s="223"/>
      <c r="F101" s="223"/>
      <c r="G101" s="223" t="s">
        <v>1538</v>
      </c>
      <c r="H101" s="112">
        <f>CEILING((F99*0.345),1)</f>
        <v>544</v>
      </c>
      <c r="I101" s="223"/>
      <c r="J101" s="223"/>
      <c r="K101" s="223" t="s">
        <v>1538</v>
      </c>
      <c r="L101" s="112">
        <f>CEILING((J99*0.345),1)</f>
        <v>535</v>
      </c>
      <c r="M101" s="223"/>
    </row>
    <row r="102" spans="1:22" x14ac:dyDescent="0.25">
      <c r="C102" s="223" t="s">
        <v>1539</v>
      </c>
      <c r="D102" s="112" t="s">
        <v>1540</v>
      </c>
      <c r="E102" s="223"/>
      <c r="F102" s="223"/>
      <c r="G102" s="223" t="s">
        <v>1539</v>
      </c>
      <c r="H102" s="112" t="s">
        <v>1543</v>
      </c>
      <c r="I102" s="223"/>
      <c r="J102" s="223"/>
      <c r="K102" s="223" t="s">
        <v>1539</v>
      </c>
      <c r="L102" s="112" t="s">
        <v>1544</v>
      </c>
      <c r="M102" s="223"/>
    </row>
    <row r="103" spans="1:22" x14ac:dyDescent="0.25">
      <c r="A103" s="222" t="s">
        <v>1527</v>
      </c>
      <c r="B103" s="159">
        <v>700</v>
      </c>
      <c r="C103" s="223" t="s">
        <v>1533</v>
      </c>
      <c r="D103" s="112">
        <f>CEILING((D98-D105-E115),1)</f>
        <v>427</v>
      </c>
      <c r="E103" s="223">
        <v>965</v>
      </c>
      <c r="F103" s="223">
        <v>750</v>
      </c>
      <c r="G103" s="223" t="s">
        <v>1533</v>
      </c>
      <c r="H103" s="112">
        <f>CEILING((H98-H105-I115),1)</f>
        <v>393</v>
      </c>
      <c r="I103" s="223">
        <v>915</v>
      </c>
      <c r="J103" s="223">
        <v>800</v>
      </c>
      <c r="K103" s="223" t="s">
        <v>1533</v>
      </c>
      <c r="L103" s="116">
        <f>CEILING((L98-L105-M115),1)</f>
        <v>410</v>
      </c>
      <c r="M103" s="223">
        <v>1015</v>
      </c>
    </row>
    <row r="104" spans="1:22" x14ac:dyDescent="0.25">
      <c r="A104" s="222" t="s">
        <v>1528</v>
      </c>
      <c r="B104" s="159">
        <v>1400</v>
      </c>
      <c r="C104" s="222" t="s">
        <v>1534</v>
      </c>
      <c r="D104" s="112">
        <f>D99</f>
        <v>1223</v>
      </c>
      <c r="E104" s="224"/>
      <c r="F104" s="159">
        <v>1600</v>
      </c>
      <c r="G104" s="222" t="s">
        <v>1534</v>
      </c>
      <c r="H104" s="112">
        <f>H99</f>
        <v>639</v>
      </c>
      <c r="I104" s="224">
        <v>618</v>
      </c>
      <c r="J104" s="159">
        <v>1500</v>
      </c>
      <c r="K104" s="222" t="s">
        <v>1534</v>
      </c>
      <c r="L104" s="116">
        <f>L99</f>
        <v>55</v>
      </c>
      <c r="M104" s="224">
        <v>64794</v>
      </c>
      <c r="U104" s="159">
        <f>((R99-(T99*25.4))/(25.4/16))*10</f>
        <v>8.8188976377958497</v>
      </c>
    </row>
    <row r="105" spans="1:22" x14ac:dyDescent="0.25">
      <c r="A105" s="222"/>
      <c r="C105" s="223" t="s">
        <v>1537</v>
      </c>
      <c r="D105" s="112">
        <f>CEILING((B103*0.345),1)</f>
        <v>242</v>
      </c>
      <c r="E105" s="223">
        <v>259</v>
      </c>
      <c r="F105" s="223"/>
      <c r="G105" s="223" t="s">
        <v>1537</v>
      </c>
      <c r="H105" s="112">
        <f>CEILING((F103*0.345),1)</f>
        <v>259</v>
      </c>
      <c r="I105" s="223">
        <v>276</v>
      </c>
      <c r="J105" s="223"/>
      <c r="K105" s="223" t="s">
        <v>1537</v>
      </c>
      <c r="L105" s="116">
        <f>CEILING((J103*0.345),1)</f>
        <v>276</v>
      </c>
      <c r="M105" s="223">
        <v>242</v>
      </c>
    </row>
    <row r="106" spans="1:22" x14ac:dyDescent="0.25">
      <c r="C106" s="223" t="s">
        <v>1538</v>
      </c>
      <c r="D106" s="112">
        <f>CEILING((B104*0.345),1)</f>
        <v>483</v>
      </c>
      <c r="E106" s="223"/>
      <c r="F106" s="223"/>
      <c r="G106" s="223" t="s">
        <v>1538</v>
      </c>
      <c r="H106" s="112">
        <f>CEILING((F104*0.345),1)</f>
        <v>552</v>
      </c>
      <c r="I106" s="223"/>
      <c r="J106" s="223"/>
      <c r="K106" s="223" t="s">
        <v>1538</v>
      </c>
      <c r="L106" s="112">
        <f>CEILING((J104*0.345),1)</f>
        <v>518</v>
      </c>
      <c r="M106" s="223"/>
    </row>
    <row r="107" spans="1:22" x14ac:dyDescent="0.25">
      <c r="C107" s="223" t="s">
        <v>1539</v>
      </c>
      <c r="D107" s="112" t="s">
        <v>1541</v>
      </c>
      <c r="E107" s="223"/>
      <c r="F107" s="223"/>
      <c r="G107" s="223" t="s">
        <v>1539</v>
      </c>
      <c r="H107" s="112" t="s">
        <v>1540</v>
      </c>
      <c r="I107" s="223"/>
      <c r="J107" s="223"/>
      <c r="K107" s="223" t="s">
        <v>1539</v>
      </c>
      <c r="L107" s="116" t="s">
        <v>1542</v>
      </c>
      <c r="M107" s="223"/>
    </row>
    <row r="108" spans="1:22" x14ac:dyDescent="0.25">
      <c r="A108" s="222" t="s">
        <v>1529</v>
      </c>
      <c r="B108" s="159">
        <v>800</v>
      </c>
      <c r="C108" s="223" t="s">
        <v>1533</v>
      </c>
      <c r="D108" s="112">
        <f>CEILING((D103-D110-E115),1)</f>
        <v>133</v>
      </c>
      <c r="E108" s="223">
        <v>965</v>
      </c>
      <c r="F108" s="223">
        <v>700</v>
      </c>
      <c r="G108" s="223" t="s">
        <v>1533</v>
      </c>
      <c r="H108" s="112">
        <f>CEILING((H103-H110-I115),1)</f>
        <v>133</v>
      </c>
      <c r="I108" s="223">
        <v>915</v>
      </c>
      <c r="J108" s="223">
        <v>750</v>
      </c>
      <c r="K108" s="223" t="s">
        <v>1533</v>
      </c>
      <c r="L108" s="116">
        <f>CEILING((L103-L110-M115),1)</f>
        <v>133</v>
      </c>
      <c r="M108" s="223">
        <v>1015</v>
      </c>
    </row>
    <row r="109" spans="1:22" x14ac:dyDescent="0.25">
      <c r="A109" s="222" t="s">
        <v>1530</v>
      </c>
      <c r="B109" s="159">
        <v>1500</v>
      </c>
      <c r="C109" s="222" t="s">
        <v>1534</v>
      </c>
      <c r="D109" s="112">
        <f>D104</f>
        <v>1223</v>
      </c>
      <c r="E109" s="224"/>
      <c r="F109" s="159">
        <v>1550</v>
      </c>
      <c r="G109" s="222" t="s">
        <v>1534</v>
      </c>
      <c r="H109" s="112">
        <f>H104</f>
        <v>639</v>
      </c>
      <c r="I109" s="224">
        <v>35</v>
      </c>
      <c r="J109" s="159">
        <v>1600</v>
      </c>
      <c r="K109" s="222" t="s">
        <v>1534</v>
      </c>
      <c r="L109" s="116">
        <f>L104</f>
        <v>55</v>
      </c>
      <c r="M109" s="224">
        <v>64408</v>
      </c>
    </row>
    <row r="110" spans="1:22" x14ac:dyDescent="0.25">
      <c r="C110" s="223" t="s">
        <v>1537</v>
      </c>
      <c r="D110" s="112">
        <f>CEILING((B108*0.345),1)</f>
        <v>276</v>
      </c>
      <c r="E110" s="223">
        <v>259</v>
      </c>
      <c r="F110" s="223"/>
      <c r="G110" s="223" t="s">
        <v>1537</v>
      </c>
      <c r="H110" s="112">
        <f>CEILING((F108*0.345),1)</f>
        <v>242</v>
      </c>
      <c r="I110" s="223">
        <v>276</v>
      </c>
      <c r="J110" s="223"/>
      <c r="K110" s="223" t="s">
        <v>1537</v>
      </c>
      <c r="L110" s="116">
        <f>CEILING((J108*0.345),1)</f>
        <v>259</v>
      </c>
      <c r="M110" s="223">
        <v>242</v>
      </c>
    </row>
    <row r="111" spans="1:22" x14ac:dyDescent="0.25">
      <c r="C111" s="223" t="s">
        <v>1538</v>
      </c>
      <c r="D111" s="112">
        <f>CEILING((B109*0.345),1)</f>
        <v>518</v>
      </c>
      <c r="E111" s="223"/>
      <c r="F111" s="223"/>
      <c r="G111" s="223" t="s">
        <v>1538</v>
      </c>
      <c r="H111" s="112">
        <f>CEILING((F109*0.345),1)</f>
        <v>535</v>
      </c>
      <c r="I111" s="223"/>
      <c r="J111" s="223"/>
      <c r="K111" s="223" t="s">
        <v>1538</v>
      </c>
      <c r="L111" s="112">
        <f>CEILING((J109*0.345),1)</f>
        <v>552</v>
      </c>
      <c r="M111" s="223"/>
    </row>
    <row r="112" spans="1:22" x14ac:dyDescent="0.25">
      <c r="C112" s="222" t="s">
        <v>1539</v>
      </c>
      <c r="D112" s="112" t="s">
        <v>1542</v>
      </c>
      <c r="E112" s="224"/>
      <c r="F112" s="222"/>
      <c r="G112" s="222" t="s">
        <v>1539</v>
      </c>
      <c r="H112" s="112" t="s">
        <v>1544</v>
      </c>
      <c r="I112" s="224"/>
      <c r="J112" s="222"/>
      <c r="K112" s="222" t="s">
        <v>1539</v>
      </c>
      <c r="L112" s="116" t="s">
        <v>1540</v>
      </c>
      <c r="M112" s="224"/>
    </row>
    <row r="113" spans="1:14" x14ac:dyDescent="0.25">
      <c r="A113" s="225" t="s">
        <v>1578</v>
      </c>
      <c r="B113" s="159">
        <f>B98+B103+B108+100</f>
        <v>2350</v>
      </c>
      <c r="C113"/>
      <c r="D113" s="159">
        <f>CEILING((B113*0.345),1)</f>
        <v>811</v>
      </c>
      <c r="F113" s="159">
        <f>F98+F103+F108+100</f>
        <v>2350</v>
      </c>
      <c r="H113" s="159">
        <f>CEILING((F113*0.345),1)</f>
        <v>811</v>
      </c>
      <c r="J113" s="159">
        <f>J98+J103+J108+100</f>
        <v>2350</v>
      </c>
      <c r="L113" s="159">
        <f>CEILING((J113*0.345),1)</f>
        <v>811</v>
      </c>
    </row>
    <row r="114" spans="1:14" x14ac:dyDescent="0.25">
      <c r="A114" s="225" t="s">
        <v>914</v>
      </c>
      <c r="B114" s="159">
        <v>1600</v>
      </c>
      <c r="D114" s="159">
        <f>CEILING((B114*0.345),1)</f>
        <v>552</v>
      </c>
      <c r="F114" s="159">
        <v>1600</v>
      </c>
      <c r="H114" s="159">
        <f>CEILING((F114*0.345),1)</f>
        <v>552</v>
      </c>
      <c r="J114" s="159">
        <v>1600</v>
      </c>
      <c r="L114" s="159">
        <f>CEILING((J114*0.345),1)</f>
        <v>552</v>
      </c>
    </row>
    <row r="115" spans="1:14" x14ac:dyDescent="0.25">
      <c r="D115" s="222" t="s">
        <v>1545</v>
      </c>
      <c r="E115" s="159">
        <f>CEILING((50*0.345),1)</f>
        <v>18</v>
      </c>
      <c r="I115" s="159">
        <f>CEILING((50*0.345),1)</f>
        <v>18</v>
      </c>
      <c r="M115" s="159">
        <f>CEILING((50*0.345),1)</f>
        <v>18</v>
      </c>
    </row>
    <row r="116" spans="1:14" x14ac:dyDescent="0.25">
      <c r="E116" s="159">
        <f>CEILING((90*0.345),1)</f>
        <v>32</v>
      </c>
      <c r="I116" s="159">
        <f>CEILING((90*0.345),1)</f>
        <v>32</v>
      </c>
      <c r="M116" s="159">
        <f>CEILING((90*0.345),1)</f>
        <v>32</v>
      </c>
    </row>
    <row r="118" spans="1:14" x14ac:dyDescent="0.25">
      <c r="A118" s="222" t="s">
        <v>1546</v>
      </c>
      <c r="F118" s="225" t="s">
        <v>1579</v>
      </c>
    </row>
    <row r="119" spans="1:14" x14ac:dyDescent="0.25">
      <c r="A119" s="222" t="s">
        <v>1547</v>
      </c>
      <c r="B119" s="159">
        <v>108</v>
      </c>
      <c r="F119" s="225" t="s">
        <v>1581</v>
      </c>
    </row>
    <row r="120" spans="1:14" x14ac:dyDescent="0.25">
      <c r="A120" s="222" t="s">
        <v>1548</v>
      </c>
      <c r="B120" s="159">
        <v>48</v>
      </c>
      <c r="F120" s="225" t="s">
        <v>1580</v>
      </c>
    </row>
    <row r="121" spans="1:14" x14ac:dyDescent="0.25">
      <c r="A121" s="222" t="s">
        <v>1549</v>
      </c>
      <c r="B121" s="159">
        <v>864</v>
      </c>
    </row>
    <row r="122" spans="1:14" x14ac:dyDescent="0.25">
      <c r="A122" s="222" t="s">
        <v>1550</v>
      </c>
      <c r="B122" s="159">
        <v>1728</v>
      </c>
    </row>
    <row r="124" spans="1:14" x14ac:dyDescent="0.25">
      <c r="A124" s="225" t="s">
        <v>1566</v>
      </c>
      <c r="B124" s="159">
        <f>B122+B120-1</f>
        <v>1775</v>
      </c>
      <c r="G124" s="225" t="s">
        <v>1533</v>
      </c>
      <c r="M124" s="225" t="s">
        <v>1534</v>
      </c>
      <c r="N124" s="225"/>
    </row>
    <row r="125" spans="1:14" x14ac:dyDescent="0.25">
      <c r="A125" s="225" t="s">
        <v>1568</v>
      </c>
      <c r="B125" s="159">
        <v>540</v>
      </c>
      <c r="F125" s="225" t="s">
        <v>1567</v>
      </c>
      <c r="G125" s="225" t="s">
        <v>1569</v>
      </c>
      <c r="L125" s="225" t="s">
        <v>1572</v>
      </c>
      <c r="M125" s="225" t="s">
        <v>1571</v>
      </c>
    </row>
    <row r="126" spans="1:14" x14ac:dyDescent="0.25">
      <c r="F126" s="225" t="s">
        <v>1570</v>
      </c>
      <c r="G126" s="225" t="s">
        <v>1575</v>
      </c>
      <c r="L126" s="225" t="s">
        <v>1573</v>
      </c>
      <c r="M126" s="225" t="s">
        <v>1574</v>
      </c>
    </row>
    <row r="129" spans="1:12" x14ac:dyDescent="0.25">
      <c r="A129" s="225" t="s">
        <v>1579</v>
      </c>
      <c r="I129" s="226"/>
    </row>
    <row r="130" spans="1:12" x14ac:dyDescent="0.25">
      <c r="A130" s="225" t="s">
        <v>1578</v>
      </c>
      <c r="J130" s="225"/>
    </row>
    <row r="131" spans="1:12" x14ac:dyDescent="0.25">
      <c r="A131" s="225" t="s">
        <v>328</v>
      </c>
      <c r="J131" s="225"/>
    </row>
    <row r="132" spans="1:12" x14ac:dyDescent="0.25">
      <c r="A132" s="225" t="s">
        <v>1583</v>
      </c>
    </row>
    <row r="133" spans="1:12" x14ac:dyDescent="0.25">
      <c r="A133" s="225" t="s">
        <v>1533</v>
      </c>
    </row>
    <row r="134" spans="1:12" x14ac:dyDescent="0.25">
      <c r="B134" s="225" t="s">
        <v>1584</v>
      </c>
      <c r="E134" s="225" t="s">
        <v>1594</v>
      </c>
      <c r="J134" s="225"/>
      <c r="L134" s="225"/>
    </row>
    <row r="135" spans="1:12" x14ac:dyDescent="0.25">
      <c r="C135" s="225" t="s">
        <v>1585</v>
      </c>
      <c r="I135" s="226"/>
    </row>
    <row r="136" spans="1:12" x14ac:dyDescent="0.25">
      <c r="D136" s="225" t="s">
        <v>1577</v>
      </c>
    </row>
    <row r="137" spans="1:12" x14ac:dyDescent="0.25">
      <c r="D137" s="225" t="s">
        <v>1576</v>
      </c>
    </row>
    <row r="138" spans="1:12" x14ac:dyDescent="0.25">
      <c r="C138" s="225" t="s">
        <v>1586</v>
      </c>
    </row>
    <row r="139" spans="1:12" x14ac:dyDescent="0.25">
      <c r="D139" s="225" t="s">
        <v>1582</v>
      </c>
    </row>
    <row r="140" spans="1:12" x14ac:dyDescent="0.25">
      <c r="D140" s="225" t="s">
        <v>1576</v>
      </c>
    </row>
    <row r="141" spans="1:12" x14ac:dyDescent="0.25">
      <c r="B141" s="225" t="s">
        <v>1588</v>
      </c>
    </row>
    <row r="142" spans="1:12" x14ac:dyDescent="0.25">
      <c r="A142" s="225" t="s">
        <v>1534</v>
      </c>
    </row>
    <row r="143" spans="1:12" x14ac:dyDescent="0.25">
      <c r="A143" s="225" t="s">
        <v>1587</v>
      </c>
    </row>
    <row r="144" spans="1:12" x14ac:dyDescent="0.25">
      <c r="B144" s="225" t="s">
        <v>1591</v>
      </c>
    </row>
    <row r="145" spans="2:3" x14ac:dyDescent="0.25">
      <c r="C145" s="225" t="s">
        <v>1589</v>
      </c>
    </row>
    <row r="146" spans="2:3" x14ac:dyDescent="0.25">
      <c r="C146" s="225" t="s">
        <v>1590</v>
      </c>
    </row>
    <row r="147" spans="2:3" x14ac:dyDescent="0.25">
      <c r="B147" s="225" t="s">
        <v>1592</v>
      </c>
    </row>
    <row r="148" spans="2:3" x14ac:dyDescent="0.25">
      <c r="C148" s="225" t="s">
        <v>1593</v>
      </c>
    </row>
    <row r="149" spans="2:3" x14ac:dyDescent="0.25">
      <c r="C149" s="225" t="s">
        <v>1590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3:O45"/>
  <sheetViews>
    <sheetView topLeftCell="A19" workbookViewId="0">
      <selection activeCell="S19" sqref="S19"/>
    </sheetView>
  </sheetViews>
  <sheetFormatPr defaultRowHeight="12.75" x14ac:dyDescent="0.2"/>
  <sheetData>
    <row r="3" spans="1:15" x14ac:dyDescent="0.2">
      <c r="A3" t="s">
        <v>747</v>
      </c>
      <c r="N3" t="s">
        <v>761</v>
      </c>
    </row>
    <row r="4" spans="1:15" ht="15" x14ac:dyDescent="0.25">
      <c r="A4" t="s">
        <v>748</v>
      </c>
      <c r="N4" s="112" t="s">
        <v>762</v>
      </c>
      <c r="O4" s="112" t="s">
        <v>763</v>
      </c>
    </row>
    <row r="5" spans="1:15" ht="15" x14ac:dyDescent="0.25">
      <c r="A5" t="s">
        <v>198</v>
      </c>
      <c r="N5" s="112"/>
      <c r="O5" s="112" t="s">
        <v>764</v>
      </c>
    </row>
    <row r="6" spans="1:15" ht="15" x14ac:dyDescent="0.25">
      <c r="A6">
        <v>0</v>
      </c>
      <c r="B6">
        <v>10</v>
      </c>
      <c r="N6" s="112" t="s">
        <v>765</v>
      </c>
    </row>
    <row r="7" spans="1:15" ht="15" x14ac:dyDescent="0.25">
      <c r="A7" t="s">
        <v>751</v>
      </c>
      <c r="N7" s="112" t="s">
        <v>766</v>
      </c>
    </row>
    <row r="8" spans="1:15" ht="15" x14ac:dyDescent="0.25">
      <c r="A8">
        <v>0</v>
      </c>
      <c r="B8">
        <v>8192</v>
      </c>
      <c r="N8" s="112" t="s">
        <v>763</v>
      </c>
    </row>
    <row r="9" spans="1:15" ht="15" x14ac:dyDescent="0.25">
      <c r="A9" t="s">
        <v>752</v>
      </c>
      <c r="N9" s="112" t="s">
        <v>767</v>
      </c>
    </row>
    <row r="10" spans="1:15" ht="15" x14ac:dyDescent="0.25">
      <c r="A10">
        <v>0</v>
      </c>
      <c r="B10">
        <v>15</v>
      </c>
      <c r="N10" s="112" t="s">
        <v>768</v>
      </c>
    </row>
    <row r="11" spans="1:15" ht="15" x14ac:dyDescent="0.25">
      <c r="A11" t="s">
        <v>757</v>
      </c>
      <c r="N11" s="112" t="s">
        <v>769</v>
      </c>
    </row>
    <row r="12" spans="1:15" ht="15" x14ac:dyDescent="0.25">
      <c r="A12" t="s">
        <v>756</v>
      </c>
      <c r="N12" s="112" t="s">
        <v>770</v>
      </c>
    </row>
    <row r="13" spans="1:15" ht="15" x14ac:dyDescent="0.25">
      <c r="A13" t="s">
        <v>753</v>
      </c>
      <c r="B13">
        <v>5461</v>
      </c>
      <c r="N13" s="112" t="s">
        <v>771</v>
      </c>
    </row>
    <row r="14" spans="1:15" x14ac:dyDescent="0.2">
      <c r="A14" t="s">
        <v>758</v>
      </c>
    </row>
    <row r="15" spans="1:15" ht="15" x14ac:dyDescent="0.25">
      <c r="A15" t="s">
        <v>759</v>
      </c>
      <c r="N15" s="112" t="s">
        <v>772</v>
      </c>
    </row>
    <row r="17" spans="1:14" ht="15" x14ac:dyDescent="0.25">
      <c r="N17" s="112" t="s">
        <v>773</v>
      </c>
    </row>
    <row r="18" spans="1:14" ht="15" x14ac:dyDescent="0.25">
      <c r="A18" t="s">
        <v>755</v>
      </c>
      <c r="N18" s="112" t="s">
        <v>774</v>
      </c>
    </row>
    <row r="19" spans="1:14" ht="15" x14ac:dyDescent="0.25">
      <c r="N19" s="112" t="s">
        <v>775</v>
      </c>
    </row>
    <row r="20" spans="1:14" x14ac:dyDescent="0.2">
      <c r="A20" t="s">
        <v>754</v>
      </c>
    </row>
    <row r="21" spans="1:14" x14ac:dyDescent="0.2">
      <c r="N21" t="s">
        <v>597</v>
      </c>
    </row>
    <row r="22" spans="1:14" x14ac:dyDescent="0.2">
      <c r="A22" t="s">
        <v>749</v>
      </c>
      <c r="B22" t="s">
        <v>750</v>
      </c>
    </row>
    <row r="23" spans="1:14" x14ac:dyDescent="0.2">
      <c r="A23">
        <v>0</v>
      </c>
      <c r="B23">
        <v>500</v>
      </c>
    </row>
    <row r="28" spans="1:14" x14ac:dyDescent="0.2">
      <c r="E28">
        <v>0</v>
      </c>
      <c r="G28">
        <v>52</v>
      </c>
    </row>
    <row r="29" spans="1:14" x14ac:dyDescent="0.2">
      <c r="A29">
        <v>5461</v>
      </c>
      <c r="B29">
        <v>8192</v>
      </c>
      <c r="C29">
        <f>B29*0.8</f>
        <v>6553.6</v>
      </c>
      <c r="E29">
        <v>0</v>
      </c>
      <c r="G29">
        <v>50</v>
      </c>
    </row>
    <row r="30" spans="1:14" x14ac:dyDescent="0.2">
      <c r="B30">
        <f>A29/B29</f>
        <v>0.6666259765625</v>
      </c>
    </row>
    <row r="31" spans="1:14" x14ac:dyDescent="0.2">
      <c r="G31">
        <f>G29/G28</f>
        <v>0.96153846153846156</v>
      </c>
    </row>
    <row r="32" spans="1:14" x14ac:dyDescent="0.2">
      <c r="B32">
        <f>A29/10</f>
        <v>546.1</v>
      </c>
      <c r="C32">
        <f>B32*50</f>
        <v>27305</v>
      </c>
      <c r="D32">
        <f>C32*(52/50)</f>
        <v>28397.200000000001</v>
      </c>
    </row>
    <row r="33" spans="2:6" x14ac:dyDescent="0.2">
      <c r="D33">
        <v>5461</v>
      </c>
    </row>
    <row r="36" spans="2:6" x14ac:dyDescent="0.2">
      <c r="B36">
        <v>4</v>
      </c>
      <c r="C36">
        <v>20</v>
      </c>
    </row>
    <row r="37" spans="2:6" x14ac:dyDescent="0.2">
      <c r="B37">
        <v>0</v>
      </c>
      <c r="C37">
        <v>20</v>
      </c>
    </row>
    <row r="41" spans="2:6" x14ac:dyDescent="0.2">
      <c r="B41">
        <v>8192</v>
      </c>
      <c r="C41">
        <v>15</v>
      </c>
      <c r="D41">
        <v>50</v>
      </c>
      <c r="E41">
        <f>D41/C41</f>
        <v>3.3333333333333335</v>
      </c>
      <c r="F41">
        <f>B41*E41</f>
        <v>27306.666666666668</v>
      </c>
    </row>
    <row r="44" spans="2:6" x14ac:dyDescent="0.2">
      <c r="B44">
        <v>5461</v>
      </c>
      <c r="C44">
        <v>10</v>
      </c>
      <c r="D44">
        <v>50</v>
      </c>
      <c r="E44">
        <f>((B44/C44)*D44)*0.8</f>
        <v>21844</v>
      </c>
    </row>
    <row r="45" spans="2:6" x14ac:dyDescent="0.2">
      <c r="B45">
        <v>5461</v>
      </c>
      <c r="C45">
        <v>10</v>
      </c>
      <c r="D45">
        <v>40</v>
      </c>
      <c r="E45">
        <f>((B45/C45)*D45)</f>
        <v>21844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93"/>
  <sheetViews>
    <sheetView workbookViewId="0">
      <selection activeCell="C21" sqref="C21"/>
    </sheetView>
  </sheetViews>
  <sheetFormatPr defaultRowHeight="12.75" x14ac:dyDescent="0.2"/>
  <cols>
    <col min="1" max="1" width="16.7109375" customWidth="1"/>
    <col min="2" max="2" width="12.85546875" customWidth="1"/>
    <col min="3" max="3" width="67.7109375" bestFit="1" customWidth="1"/>
    <col min="5" max="5" width="18.5703125" bestFit="1" customWidth="1"/>
    <col min="6" max="6" width="12" bestFit="1" customWidth="1"/>
    <col min="7" max="7" width="56" bestFit="1" customWidth="1"/>
    <col min="9" max="9" width="17.42578125" customWidth="1"/>
    <col min="11" max="11" width="19.28515625" bestFit="1" customWidth="1"/>
  </cols>
  <sheetData>
    <row r="1" spans="1:11" x14ac:dyDescent="0.2">
      <c r="A1" t="s">
        <v>830</v>
      </c>
    </row>
    <row r="3" spans="1:11" x14ac:dyDescent="0.2">
      <c r="A3" t="s">
        <v>831</v>
      </c>
      <c r="E3" t="s">
        <v>832</v>
      </c>
      <c r="I3" t="s">
        <v>857</v>
      </c>
    </row>
    <row r="4" spans="1:11" x14ac:dyDescent="0.2">
      <c r="C4" t="s">
        <v>93</v>
      </c>
      <c r="G4" t="s">
        <v>93</v>
      </c>
      <c r="K4" t="s">
        <v>93</v>
      </c>
    </row>
    <row r="5" spans="1:11" x14ac:dyDescent="0.2">
      <c r="A5" t="s">
        <v>946</v>
      </c>
      <c r="B5" t="s">
        <v>839</v>
      </c>
      <c r="C5" t="s">
        <v>942</v>
      </c>
      <c r="E5" t="s">
        <v>870</v>
      </c>
      <c r="F5" t="s">
        <v>839</v>
      </c>
      <c r="G5" t="s">
        <v>871</v>
      </c>
      <c r="I5" t="s">
        <v>959</v>
      </c>
      <c r="J5" t="s">
        <v>863</v>
      </c>
      <c r="K5" t="s">
        <v>960</v>
      </c>
    </row>
    <row r="6" spans="1:11" x14ac:dyDescent="0.2">
      <c r="A6" t="s">
        <v>947</v>
      </c>
      <c r="B6" t="s">
        <v>839</v>
      </c>
      <c r="C6" t="s">
        <v>843</v>
      </c>
      <c r="E6" t="s">
        <v>833</v>
      </c>
      <c r="F6" t="s">
        <v>839</v>
      </c>
      <c r="G6" t="s">
        <v>851</v>
      </c>
      <c r="I6" t="s">
        <v>874</v>
      </c>
      <c r="J6" t="s">
        <v>840</v>
      </c>
      <c r="K6" t="s">
        <v>875</v>
      </c>
    </row>
    <row r="7" spans="1:11" x14ac:dyDescent="0.2">
      <c r="A7" t="s">
        <v>847</v>
      </c>
      <c r="B7" t="s">
        <v>839</v>
      </c>
      <c r="C7" t="s">
        <v>844</v>
      </c>
      <c r="E7" t="s">
        <v>834</v>
      </c>
      <c r="F7" t="s">
        <v>951</v>
      </c>
      <c r="G7" t="s">
        <v>852</v>
      </c>
      <c r="I7" t="s">
        <v>944</v>
      </c>
      <c r="J7" t="s">
        <v>839</v>
      </c>
      <c r="K7" t="s">
        <v>945</v>
      </c>
    </row>
    <row r="8" spans="1:11" x14ac:dyDescent="0.2">
      <c r="A8" t="s">
        <v>848</v>
      </c>
      <c r="B8" t="s">
        <v>839</v>
      </c>
      <c r="C8" t="s">
        <v>845</v>
      </c>
      <c r="E8" t="s">
        <v>835</v>
      </c>
      <c r="F8" t="s">
        <v>951</v>
      </c>
      <c r="G8" t="s">
        <v>853</v>
      </c>
    </row>
    <row r="9" spans="1:11" x14ac:dyDescent="0.2">
      <c r="A9" t="s">
        <v>842</v>
      </c>
      <c r="B9" t="s">
        <v>840</v>
      </c>
      <c r="C9" t="s">
        <v>860</v>
      </c>
      <c r="E9" t="s">
        <v>837</v>
      </c>
      <c r="F9" t="s">
        <v>839</v>
      </c>
      <c r="G9" t="s">
        <v>854</v>
      </c>
    </row>
    <row r="10" spans="1:11" x14ac:dyDescent="0.2">
      <c r="A10" t="s">
        <v>507</v>
      </c>
      <c r="B10" t="s">
        <v>841</v>
      </c>
      <c r="C10" t="s">
        <v>850</v>
      </c>
      <c r="E10" t="s">
        <v>836</v>
      </c>
      <c r="F10" t="s">
        <v>839</v>
      </c>
      <c r="G10" t="s">
        <v>855</v>
      </c>
    </row>
    <row r="11" spans="1:11" x14ac:dyDescent="0.2">
      <c r="A11" t="s">
        <v>858</v>
      </c>
      <c r="B11" t="s">
        <v>841</v>
      </c>
      <c r="C11" t="s">
        <v>859</v>
      </c>
      <c r="E11" t="s">
        <v>838</v>
      </c>
      <c r="F11" t="s">
        <v>841</v>
      </c>
      <c r="G11" t="s">
        <v>856</v>
      </c>
    </row>
    <row r="12" spans="1:11" x14ac:dyDescent="0.2">
      <c r="A12" t="s">
        <v>973</v>
      </c>
      <c r="B12" t="s">
        <v>839</v>
      </c>
      <c r="C12" t="s">
        <v>975</v>
      </c>
      <c r="E12" t="s">
        <v>864</v>
      </c>
      <c r="F12" t="s">
        <v>839</v>
      </c>
      <c r="G12" t="s">
        <v>865</v>
      </c>
    </row>
    <row r="13" spans="1:11" x14ac:dyDescent="0.2">
      <c r="A13" t="s">
        <v>974</v>
      </c>
      <c r="B13" t="s">
        <v>841</v>
      </c>
      <c r="C13" t="s">
        <v>976</v>
      </c>
    </row>
    <row r="14" spans="1:11" x14ac:dyDescent="0.2">
      <c r="A14" t="s">
        <v>846</v>
      </c>
      <c r="B14" t="s">
        <v>839</v>
      </c>
      <c r="C14" t="s">
        <v>862</v>
      </c>
    </row>
    <row r="15" spans="1:11" x14ac:dyDescent="0.2">
      <c r="A15" t="s">
        <v>866</v>
      </c>
      <c r="B15" t="s">
        <v>839</v>
      </c>
      <c r="C15" t="s">
        <v>867</v>
      </c>
    </row>
    <row r="16" spans="1:11" x14ac:dyDescent="0.2">
      <c r="A16" t="s">
        <v>961</v>
      </c>
      <c r="B16" t="s">
        <v>839</v>
      </c>
      <c r="C16" t="s">
        <v>962</v>
      </c>
    </row>
    <row r="17" spans="1:11" x14ac:dyDescent="0.2">
      <c r="A17" t="s">
        <v>963</v>
      </c>
      <c r="B17" t="s">
        <v>849</v>
      </c>
      <c r="C17" t="s">
        <v>861</v>
      </c>
    </row>
    <row r="18" spans="1:11" x14ac:dyDescent="0.2">
      <c r="A18" t="s">
        <v>869</v>
      </c>
      <c r="B18" t="s">
        <v>839</v>
      </c>
      <c r="C18" t="s">
        <v>868</v>
      </c>
    </row>
    <row r="19" spans="1:11" x14ac:dyDescent="0.2">
      <c r="A19" t="s">
        <v>872</v>
      </c>
      <c r="B19" t="s">
        <v>839</v>
      </c>
      <c r="C19" t="s">
        <v>873</v>
      </c>
    </row>
    <row r="20" spans="1:11" x14ac:dyDescent="0.2">
      <c r="A20" t="s">
        <v>1039</v>
      </c>
      <c r="B20" t="s">
        <v>839</v>
      </c>
      <c r="C20" t="s">
        <v>1040</v>
      </c>
    </row>
    <row r="21" spans="1:11" x14ac:dyDescent="0.2">
      <c r="A21" t="s">
        <v>876</v>
      </c>
      <c r="B21" t="s">
        <v>840</v>
      </c>
      <c r="C21" t="s">
        <v>877</v>
      </c>
    </row>
    <row r="25" spans="1:11" x14ac:dyDescent="0.2">
      <c r="A25" t="s">
        <v>878</v>
      </c>
      <c r="E25" t="s">
        <v>832</v>
      </c>
      <c r="I25" t="s">
        <v>857</v>
      </c>
    </row>
    <row r="26" spans="1:11" x14ac:dyDescent="0.2">
      <c r="A26" t="s">
        <v>831</v>
      </c>
      <c r="G26" t="s">
        <v>93</v>
      </c>
      <c r="K26" t="s">
        <v>93</v>
      </c>
    </row>
    <row r="27" spans="1:11" x14ac:dyDescent="0.2">
      <c r="C27" t="s">
        <v>93</v>
      </c>
      <c r="E27" t="s">
        <v>879</v>
      </c>
      <c r="F27" t="s">
        <v>839</v>
      </c>
      <c r="G27" t="s">
        <v>881</v>
      </c>
      <c r="I27" t="s">
        <v>907</v>
      </c>
      <c r="J27" t="s">
        <v>910</v>
      </c>
      <c r="K27" t="s">
        <v>911</v>
      </c>
    </row>
    <row r="28" spans="1:11" x14ac:dyDescent="0.2">
      <c r="A28" t="s">
        <v>883</v>
      </c>
      <c r="B28" t="s">
        <v>884</v>
      </c>
      <c r="C28" t="s">
        <v>885</v>
      </c>
      <c r="E28" t="s">
        <v>880</v>
      </c>
      <c r="F28" t="s">
        <v>839</v>
      </c>
      <c r="G28" t="s">
        <v>882</v>
      </c>
      <c r="I28" t="s">
        <v>908</v>
      </c>
      <c r="J28" t="s">
        <v>910</v>
      </c>
      <c r="K28" t="s">
        <v>912</v>
      </c>
    </row>
    <row r="29" spans="1:11" x14ac:dyDescent="0.2">
      <c r="A29" t="s">
        <v>899</v>
      </c>
      <c r="B29" t="s">
        <v>839</v>
      </c>
      <c r="C29" t="s">
        <v>900</v>
      </c>
      <c r="E29" t="s">
        <v>905</v>
      </c>
      <c r="F29" t="s">
        <v>951</v>
      </c>
      <c r="G29" t="s">
        <v>906</v>
      </c>
      <c r="I29" t="s">
        <v>909</v>
      </c>
      <c r="J29" t="s">
        <v>849</v>
      </c>
      <c r="K29" t="s">
        <v>913</v>
      </c>
    </row>
    <row r="30" spans="1:11" x14ac:dyDescent="0.2">
      <c r="A30" t="s">
        <v>901</v>
      </c>
      <c r="B30" t="s">
        <v>839</v>
      </c>
      <c r="C30" t="s">
        <v>902</v>
      </c>
      <c r="E30" t="s">
        <v>708</v>
      </c>
      <c r="F30" t="s">
        <v>840</v>
      </c>
      <c r="G30" t="s">
        <v>923</v>
      </c>
      <c r="I30" t="s">
        <v>957</v>
      </c>
      <c r="J30" t="s">
        <v>840</v>
      </c>
      <c r="K30" t="s">
        <v>958</v>
      </c>
    </row>
    <row r="31" spans="1:11" x14ac:dyDescent="0.2">
      <c r="A31" t="s">
        <v>903</v>
      </c>
      <c r="B31" t="s">
        <v>839</v>
      </c>
      <c r="C31" t="s">
        <v>904</v>
      </c>
      <c r="E31" t="s">
        <v>328</v>
      </c>
      <c r="F31" t="s">
        <v>841</v>
      </c>
      <c r="G31" t="s">
        <v>949</v>
      </c>
    </row>
    <row r="32" spans="1:11" x14ac:dyDescent="0.2">
      <c r="A32" t="s">
        <v>924</v>
      </c>
      <c r="B32" t="s">
        <v>840</v>
      </c>
      <c r="C32" t="s">
        <v>925</v>
      </c>
      <c r="E32" t="s">
        <v>505</v>
      </c>
      <c r="F32" t="s">
        <v>841</v>
      </c>
      <c r="G32" t="s">
        <v>949</v>
      </c>
    </row>
    <row r="33" spans="1:7" x14ac:dyDescent="0.2">
      <c r="A33" t="s">
        <v>921</v>
      </c>
      <c r="B33" t="s">
        <v>839</v>
      </c>
      <c r="C33" t="s">
        <v>922</v>
      </c>
      <c r="E33" t="s">
        <v>914</v>
      </c>
      <c r="F33" t="s">
        <v>841</v>
      </c>
      <c r="G33" t="s">
        <v>949</v>
      </c>
    </row>
    <row r="34" spans="1:7" x14ac:dyDescent="0.2">
      <c r="A34" t="s">
        <v>926</v>
      </c>
      <c r="B34" t="s">
        <v>841</v>
      </c>
      <c r="C34" t="s">
        <v>949</v>
      </c>
      <c r="E34" t="s">
        <v>915</v>
      </c>
      <c r="F34" t="s">
        <v>839</v>
      </c>
      <c r="G34" t="s">
        <v>950</v>
      </c>
    </row>
    <row r="35" spans="1:7" x14ac:dyDescent="0.2">
      <c r="A35" t="s">
        <v>927</v>
      </c>
      <c r="B35" t="s">
        <v>841</v>
      </c>
      <c r="C35" t="s">
        <v>949</v>
      </c>
      <c r="E35" t="s">
        <v>916</v>
      </c>
      <c r="F35" t="s">
        <v>839</v>
      </c>
      <c r="G35" t="s">
        <v>950</v>
      </c>
    </row>
    <row r="36" spans="1:7" x14ac:dyDescent="0.2">
      <c r="A36" t="s">
        <v>928</v>
      </c>
      <c r="B36" t="s">
        <v>841</v>
      </c>
      <c r="C36" t="s">
        <v>949</v>
      </c>
      <c r="E36" t="s">
        <v>917</v>
      </c>
      <c r="F36" t="s">
        <v>839</v>
      </c>
      <c r="G36" t="s">
        <v>950</v>
      </c>
    </row>
    <row r="37" spans="1:7" x14ac:dyDescent="0.2">
      <c r="A37" t="s">
        <v>929</v>
      </c>
      <c r="B37" t="s">
        <v>839</v>
      </c>
      <c r="C37" t="s">
        <v>950</v>
      </c>
      <c r="E37" t="s">
        <v>918</v>
      </c>
      <c r="F37" t="s">
        <v>839</v>
      </c>
      <c r="G37" t="s">
        <v>950</v>
      </c>
    </row>
    <row r="38" spans="1:7" x14ac:dyDescent="0.2">
      <c r="A38" t="s">
        <v>930</v>
      </c>
      <c r="B38" t="s">
        <v>839</v>
      </c>
      <c r="C38" t="s">
        <v>950</v>
      </c>
      <c r="E38" t="s">
        <v>919</v>
      </c>
      <c r="F38" t="s">
        <v>839</v>
      </c>
      <c r="G38" t="s">
        <v>950</v>
      </c>
    </row>
    <row r="39" spans="1:7" x14ac:dyDescent="0.2">
      <c r="A39" t="s">
        <v>931</v>
      </c>
      <c r="B39" t="s">
        <v>839</v>
      </c>
      <c r="C39" t="s">
        <v>950</v>
      </c>
      <c r="E39" t="s">
        <v>920</v>
      </c>
      <c r="F39" t="s">
        <v>839</v>
      </c>
      <c r="G39" t="s">
        <v>950</v>
      </c>
    </row>
    <row r="40" spans="1:7" x14ac:dyDescent="0.2">
      <c r="A40" t="s">
        <v>932</v>
      </c>
      <c r="B40" t="s">
        <v>839</v>
      </c>
      <c r="C40" t="s">
        <v>950</v>
      </c>
      <c r="E40" t="s">
        <v>941</v>
      </c>
      <c r="F40" t="s">
        <v>841</v>
      </c>
      <c r="G40" t="s">
        <v>952</v>
      </c>
    </row>
    <row r="41" spans="1:7" x14ac:dyDescent="0.2">
      <c r="A41" t="s">
        <v>933</v>
      </c>
      <c r="B41" t="s">
        <v>839</v>
      </c>
      <c r="C41" t="s">
        <v>950</v>
      </c>
      <c r="E41" t="s">
        <v>953</v>
      </c>
      <c r="F41" t="s">
        <v>839</v>
      </c>
      <c r="G41" t="s">
        <v>954</v>
      </c>
    </row>
    <row r="42" spans="1:7" x14ac:dyDescent="0.2">
      <c r="A42" t="s">
        <v>934</v>
      </c>
      <c r="B42" t="s">
        <v>839</v>
      </c>
      <c r="C42" t="s">
        <v>950</v>
      </c>
      <c r="E42" t="s">
        <v>955</v>
      </c>
      <c r="F42" t="s">
        <v>839</v>
      </c>
      <c r="G42" t="s">
        <v>956</v>
      </c>
    </row>
    <row r="43" spans="1:7" x14ac:dyDescent="0.2">
      <c r="A43" t="s">
        <v>948</v>
      </c>
      <c r="B43" t="s">
        <v>839</v>
      </c>
      <c r="C43" t="s">
        <v>943</v>
      </c>
    </row>
    <row r="44" spans="1:7" x14ac:dyDescent="0.2">
      <c r="C44" s="11"/>
    </row>
    <row r="46" spans="1:7" x14ac:dyDescent="0.2">
      <c r="A46" t="s">
        <v>884</v>
      </c>
    </row>
    <row r="47" spans="1:7" x14ac:dyDescent="0.2">
      <c r="A47" t="s">
        <v>886</v>
      </c>
      <c r="C47" t="s">
        <v>935</v>
      </c>
    </row>
    <row r="48" spans="1:7" x14ac:dyDescent="0.2">
      <c r="A48" t="s">
        <v>887</v>
      </c>
      <c r="C48" t="s">
        <v>936</v>
      </c>
    </row>
    <row r="49" spans="1:9" x14ac:dyDescent="0.2">
      <c r="A49" t="s">
        <v>888</v>
      </c>
      <c r="C49" t="s">
        <v>937</v>
      </c>
    </row>
    <row r="50" spans="1:9" x14ac:dyDescent="0.2">
      <c r="A50" t="s">
        <v>889</v>
      </c>
      <c r="C50" t="s">
        <v>938</v>
      </c>
    </row>
    <row r="51" spans="1:9" x14ac:dyDescent="0.2">
      <c r="A51" t="s">
        <v>890</v>
      </c>
      <c r="C51" t="s">
        <v>978</v>
      </c>
    </row>
    <row r="52" spans="1:9" x14ac:dyDescent="0.2">
      <c r="A52" t="s">
        <v>891</v>
      </c>
      <c r="C52" t="s">
        <v>979</v>
      </c>
    </row>
    <row r="53" spans="1:9" x14ac:dyDescent="0.2">
      <c r="A53" t="s">
        <v>892</v>
      </c>
      <c r="C53" t="s">
        <v>939</v>
      </c>
    </row>
    <row r="54" spans="1:9" x14ac:dyDescent="0.2">
      <c r="A54" t="s">
        <v>893</v>
      </c>
      <c r="C54" t="s">
        <v>940</v>
      </c>
    </row>
    <row r="55" spans="1:9" x14ac:dyDescent="0.2">
      <c r="A55" t="s">
        <v>894</v>
      </c>
    </row>
    <row r="56" spans="1:9" x14ac:dyDescent="0.2">
      <c r="A56" t="s">
        <v>895</v>
      </c>
    </row>
    <row r="57" spans="1:9" x14ac:dyDescent="0.2">
      <c r="A57" t="s">
        <v>896</v>
      </c>
    </row>
    <row r="58" spans="1:9" x14ac:dyDescent="0.2">
      <c r="A58" t="s">
        <v>897</v>
      </c>
    </row>
    <row r="59" spans="1:9" x14ac:dyDescent="0.2">
      <c r="A59" t="s">
        <v>898</v>
      </c>
    </row>
    <row r="62" spans="1:9" x14ac:dyDescent="0.2">
      <c r="A62" t="s">
        <v>980</v>
      </c>
    </row>
    <row r="63" spans="1:9" x14ac:dyDescent="0.2">
      <c r="A63" t="s">
        <v>831</v>
      </c>
      <c r="E63" t="s">
        <v>832</v>
      </c>
      <c r="I63" t="s">
        <v>857</v>
      </c>
    </row>
    <row r="65" spans="1:10" x14ac:dyDescent="0.2">
      <c r="A65" t="s">
        <v>982</v>
      </c>
      <c r="B65" t="s">
        <v>839</v>
      </c>
      <c r="E65" t="s">
        <v>997</v>
      </c>
      <c r="F65" t="s">
        <v>839</v>
      </c>
      <c r="I65" t="s">
        <v>1006</v>
      </c>
      <c r="J65" t="s">
        <v>863</v>
      </c>
    </row>
    <row r="66" spans="1:10" x14ac:dyDescent="0.2">
      <c r="A66" t="s">
        <v>983</v>
      </c>
      <c r="B66" t="s">
        <v>839</v>
      </c>
      <c r="E66" t="s">
        <v>998</v>
      </c>
      <c r="F66" t="s">
        <v>839</v>
      </c>
      <c r="I66" t="s">
        <v>1007</v>
      </c>
      <c r="J66" t="s">
        <v>863</v>
      </c>
    </row>
    <row r="67" spans="1:10" x14ac:dyDescent="0.2">
      <c r="A67" t="s">
        <v>984</v>
      </c>
      <c r="B67" t="s">
        <v>839</v>
      </c>
      <c r="E67" t="s">
        <v>999</v>
      </c>
      <c r="F67" t="s">
        <v>839</v>
      </c>
      <c r="I67" t="s">
        <v>1008</v>
      </c>
      <c r="J67" t="s">
        <v>1009</v>
      </c>
    </row>
    <row r="68" spans="1:10" x14ac:dyDescent="0.2">
      <c r="A68" t="s">
        <v>985</v>
      </c>
      <c r="B68" t="s">
        <v>839</v>
      </c>
      <c r="E68" t="s">
        <v>1000</v>
      </c>
      <c r="F68" t="s">
        <v>839</v>
      </c>
      <c r="I68" t="s">
        <v>1010</v>
      </c>
      <c r="J68" t="s">
        <v>1009</v>
      </c>
    </row>
    <row r="69" spans="1:10" x14ac:dyDescent="0.2">
      <c r="A69" t="s">
        <v>986</v>
      </c>
      <c r="B69" t="s">
        <v>839</v>
      </c>
      <c r="E69" t="s">
        <v>1001</v>
      </c>
      <c r="F69" t="s">
        <v>839</v>
      </c>
      <c r="I69" t="s">
        <v>1011</v>
      </c>
      <c r="J69" t="s">
        <v>1009</v>
      </c>
    </row>
    <row r="70" spans="1:10" x14ac:dyDescent="0.2">
      <c r="A70" t="s">
        <v>987</v>
      </c>
      <c r="B70" t="s">
        <v>839</v>
      </c>
      <c r="E70" t="s">
        <v>1002</v>
      </c>
      <c r="F70" t="s">
        <v>839</v>
      </c>
      <c r="I70" t="s">
        <v>1012</v>
      </c>
      <c r="J70" t="s">
        <v>839</v>
      </c>
    </row>
    <row r="71" spans="1:10" x14ac:dyDescent="0.2">
      <c r="A71" t="s">
        <v>766</v>
      </c>
      <c r="B71" t="s">
        <v>839</v>
      </c>
      <c r="E71" t="s">
        <v>1003</v>
      </c>
      <c r="F71" t="s">
        <v>839</v>
      </c>
      <c r="I71" t="s">
        <v>1013</v>
      </c>
      <c r="J71" t="s">
        <v>839</v>
      </c>
    </row>
    <row r="72" spans="1:10" x14ac:dyDescent="0.2">
      <c r="A72" t="s">
        <v>988</v>
      </c>
      <c r="B72" t="s">
        <v>839</v>
      </c>
      <c r="E72" t="s">
        <v>1004</v>
      </c>
      <c r="F72" t="s">
        <v>839</v>
      </c>
      <c r="I72" t="s">
        <v>1014</v>
      </c>
      <c r="J72" t="s">
        <v>863</v>
      </c>
    </row>
    <row r="73" spans="1:10" x14ac:dyDescent="0.2">
      <c r="A73" t="s">
        <v>989</v>
      </c>
      <c r="B73" t="s">
        <v>839</v>
      </c>
      <c r="E73" t="s">
        <v>1005</v>
      </c>
      <c r="F73" t="s">
        <v>839</v>
      </c>
      <c r="I73" t="s">
        <v>1015</v>
      </c>
      <c r="J73" t="s">
        <v>863</v>
      </c>
    </row>
    <row r="74" spans="1:10" x14ac:dyDescent="0.2">
      <c r="A74" t="s">
        <v>990</v>
      </c>
      <c r="B74" t="s">
        <v>839</v>
      </c>
      <c r="I74" t="s">
        <v>1016</v>
      </c>
      <c r="J74" t="s">
        <v>839</v>
      </c>
    </row>
    <row r="75" spans="1:10" x14ac:dyDescent="0.2">
      <c r="A75" t="s">
        <v>991</v>
      </c>
      <c r="B75" t="s">
        <v>839</v>
      </c>
      <c r="I75" t="s">
        <v>1017</v>
      </c>
      <c r="J75" t="s">
        <v>839</v>
      </c>
    </row>
    <row r="76" spans="1:10" x14ac:dyDescent="0.2">
      <c r="A76" t="s">
        <v>996</v>
      </c>
      <c r="B76" t="s">
        <v>839</v>
      </c>
      <c r="I76" t="s">
        <v>957</v>
      </c>
      <c r="J76" t="s">
        <v>840</v>
      </c>
    </row>
    <row r="77" spans="1:10" x14ac:dyDescent="0.2">
      <c r="A77" t="s">
        <v>992</v>
      </c>
      <c r="B77" t="s">
        <v>993</v>
      </c>
      <c r="I77" t="s">
        <v>1018</v>
      </c>
      <c r="J77" t="s">
        <v>863</v>
      </c>
    </row>
    <row r="78" spans="1:10" x14ac:dyDescent="0.2">
      <c r="A78" t="s">
        <v>994</v>
      </c>
      <c r="B78" t="s">
        <v>849</v>
      </c>
    </row>
    <row r="79" spans="1:10" x14ac:dyDescent="0.2">
      <c r="A79" t="s">
        <v>995</v>
      </c>
      <c r="B79" t="s">
        <v>849</v>
      </c>
    </row>
    <row r="92" spans="1:1" x14ac:dyDescent="0.2">
      <c r="A92" t="s">
        <v>761</v>
      </c>
    </row>
    <row r="93" spans="1:1" x14ac:dyDescent="0.2">
      <c r="A93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ToDo</vt:lpstr>
      <vt:lpstr>IO</vt:lpstr>
      <vt:lpstr>BRMem</vt:lpstr>
      <vt:lpstr>Plug</vt:lpstr>
      <vt:lpstr>AC</vt:lpstr>
      <vt:lpstr>Tracking</vt:lpstr>
      <vt:lpstr>X2</vt:lpstr>
      <vt:lpstr>Program Checklist</vt:lpstr>
      <vt:lpstr>Motors</vt:lpstr>
      <vt:lpstr>Cycle Time</vt:lpstr>
      <vt:lpstr>Visualisation</vt:lpstr>
      <vt:lpstr>Next Size</vt:lpstr>
      <vt:lpstr>Batch Display</vt:lpstr>
      <vt:lpstr>Analog</vt:lpstr>
      <vt:lpstr>Ashton FB</vt:lpstr>
      <vt:lpstr>AC!Print_Area</vt:lpstr>
      <vt:lpstr>IO!Print_Area</vt:lpstr>
      <vt:lpstr>IO!Print_Titles</vt:lpstr>
      <vt:lpstr>Plug!Print_Titles</vt:lpstr>
    </vt:vector>
  </TitlesOfParts>
  <Company>Ashton Industrial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Elliott</dc:creator>
  <cp:lastModifiedBy>Nick Elliott</cp:lastModifiedBy>
  <cp:lastPrinted>2018-06-08T09:21:19Z</cp:lastPrinted>
  <dcterms:created xsi:type="dcterms:W3CDTF">2003-05-13T13:31:52Z</dcterms:created>
  <dcterms:modified xsi:type="dcterms:W3CDTF">2025-12-15T09:10:07Z</dcterms:modified>
</cp:coreProperties>
</file>